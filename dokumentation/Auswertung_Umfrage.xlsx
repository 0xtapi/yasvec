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be5376fefa4b03" /></Relationships>
</file>

<file path=xl/workbook.xml><?xml version="1.0" encoding="utf-8"?>
<x:workbook xmlns:x="http://schemas.openxmlformats.org/spreadsheetml/2006/main">
  <x:sheets>
    <x:sheet xmlns:r="http://schemas.openxmlformats.org/officeDocument/2006/relationships" name="Tabelle1" sheetId="1" r:id="R772c5945f8b846cd"/>
    <x:sheet xmlns:r="http://schemas.openxmlformats.org/officeDocument/2006/relationships" name="Prüfbericht" sheetId="2" r:id="Rd5391c448b904952"/>
    <x:sheet xmlns:r="http://schemas.openxmlformats.org/officeDocument/2006/relationships" name="Einzelfragen" sheetId="3" r:id="R35bfbab1a5c64ce3"/>
    <x:sheet xmlns:r="http://schemas.openxmlformats.org/officeDocument/2006/relationships" name="Kodierung offene Fragen" sheetId="4" r:id="Ra63f4a8964b341c1"/>
    <x:sheet xmlns:r="http://schemas.openxmlformats.org/officeDocument/2006/relationships" name="Offene Fragen" sheetId="5" r:id="R481ff1219bcd495c"/>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<x:sst xmlns:x="http://schemas.openxmlformats.org/spreadsheetml/2006/main">
  <x:si>
    <x:t xml:space="preserve">ID</x:t>
  </x:si>
  <x:si>
    <x:t xml:space="preserve">DARSTELLUNGSFORM</x:t>
  </x:si>
  <x:si>
    <x:t xml:space="preserve">DATUM/UHRZEIT</x:t>
  </x:si>
  <x:si>
    <x:t xml:space="preserve">ORTSKENNTNISSE</x:t>
  </x:si>
  <x:si>
    <x:t xml:space="preserve">FACHKENNTNISSE</x:t>
  </x:si>
  <x:si>
    <x:t xml:space="preserve">FEEDBACK_OFFEN</x:t>
  </x:si>
  <x:si>
    <x:t xml:space="preserve">OV01</x:t>
  </x:si>
  <x:si>
    <x:t xml:space="preserve">OV02</x:t>
  </x:si>
  <x:si>
    <x:t xml:space="preserve">OV03</x:t>
  </x:si>
  <x:si>
    <x:t xml:space="preserve">OV04</x:t>
  </x:si>
  <x:si>
    <x:t xml:space="preserve">OV05</x:t>
  </x:si>
  <x:si>
    <x:t xml:space="preserve">OV06</x:t>
  </x:si>
  <x:si>
    <x:t xml:space="preserve">OV07</x:t>
  </x:si>
  <x:si>
    <x:t xml:space="preserve">OV08</x:t>
  </x:si>
  <x:si>
    <x:t xml:space="preserve">OV01_KORREKT</x:t>
  </x:si>
  <x:si>
    <x:t xml:space="preserve">OV02_KORREKT</x:t>
  </x:si>
  <x:si>
    <x:t xml:space="preserve">OV03_KORREKT</x:t>
  </x:si>
  <x:si>
    <x:t xml:space="preserve">OV04_KORREKT</x:t>
  </x:si>
  <x:si>
    <x:t xml:space="preserve">OV05_KORREKT</x:t>
  </x:si>
  <x:si>
    <x:t xml:space="preserve">OV06_KORREKT</x:t>
  </x:si>
  <x:si>
    <x:t xml:space="preserve">OV07_KORREKT</x:t>
  </x:si>
  <x:si>
    <x:t xml:space="preserve">OV08_KORREKT</x:t>
  </x:si>
  <x:si>
    <x:t xml:space="preserve">OV_GESAMT</x:t>
  </x:si>
  <x:si>
    <x:t xml:space="preserve">OV_ERFASSUNG</x:t>
  </x:si>
  <x:si>
    <x:t xml:space="preserve">OV_LOKALISIERUNG</x:t>
  </x:si>
  <x:si>
    <x:t xml:space="preserve">OV_PERSPEKTIVISCHE_ORIENTIERUNG</x:t>
  </x:si>
  <x:si>
    <x:t xml:space="preserve">OV_MASS_GROESSE_HOEHE</x:t>
  </x:si>
  <x:si>
    <x:t xml:space="preserve">SV01</x:t>
  </x:si>
  <x:si>
    <x:t xml:space="preserve">SV02</x:t>
  </x:si>
  <x:si>
    <x:t xml:space="preserve">SV03</x:t>
  </x:si>
  <x:si>
    <x:t xml:space="preserve">SV04</x:t>
  </x:si>
  <x:si>
    <x:t xml:space="preserve">SV05</x:t>
  </x:si>
  <x:si>
    <x:t xml:space="preserve">SV06</x:t>
  </x:si>
  <x:si>
    <x:t xml:space="preserve">SV07</x:t>
  </x:si>
  <x:si>
    <x:t xml:space="preserve">SV08</x:t>
  </x:si>
  <x:si>
    <x:t xml:space="preserve">SV_GLOBAL</x:t>
  </x:si>
  <x:si>
    <x:t xml:space="preserve">SV_GESAMT</x:t>
  </x:si>
  <x:si>
    <x:t xml:space="preserve">SV_ERFASSUNG</x:t>
  </x:si>
  <x:si>
    <x:t xml:space="preserve">SV_LOKALISIERUNG</x:t>
  </x:si>
  <x:si>
    <x:t xml:space="preserve">SV_PERSPEKTIVISCHE_ORIENTIERUNG.</x:t>
  </x:si>
  <x:si>
    <x:t xml:space="preserve">SV_MASS_GROESSE_HOEHE</x:t>
  </x:si>
  <x:si>
    <x:t xml:space="preserve">SV_OFFEN</x:t>
  </x:si>
  <x:si>
    <x:t xml:space="preserve">BEARBEITUNGSZEIT</x:t>
  </x:si>
  <x:si>
    <x:t xml:space="preserve">BEARBEITUNGSZEIT_RSI</x:t>
  </x:si>
  <x:si>
    <x:t xml:space="preserve">EINSCHLUSS</x:t>
  </x:si>
  <x:si>
    <x:t xml:space="preserve">Anzahl korrekt gelöster Aufgaben</x:t>
  </x:si>
  <x:si>
    <x:t xml:space="preserve">SV_Gesamt</x:t>
  </x:si>
  <x:si>
    <x:t xml:space="preserve">OV_Gesamt_Mittelwert_REF</x:t>
  </x:si>
  <x:si>
    <x:t xml:space="preserve">OV_Abweichung_REF</x:t>
  </x:si>
  <x:si>
    <x:t xml:space="preserve">D2_3D-DIGITAL</x:t>
  </x:si>
  <x:si>
    <x:t xml:space="preserve">Für eine Person ohne fachlichen Hintergrund war das verstehen der Darstellung nicht so einfach. Als haptiches modell würde es vielleicht einfacher sein</x:t>
  </x:si>
  <x:si>
    <x:t xml:space="preserve">Einschluss</x:t>
  </x:si>
  <x:si>
    <x:t xml:space="preserve">Die Entfernung war schwierig zu bestimmen, da hätte mir eine Angabe geholfen</x:t>
  </x:si>
  <x:si>
    <x:t xml:space="preserve">Geholfen hat die Beschriftung der einzelnen Teile</x:t>
  </x:si>
  <x:si>
    <x:t xml:space="preserve">Nachvollziehbarer Höhenunterschied</x:t>
  </x:si>
  <x:si>
    <x:t xml:space="preserve">Ne war ok</x:t>
  </x:si>
  <x:si>
    <x:t xml:space="preserve">Die maus</x:t>
  </x:si>
  <x:si>
    <x:t xml:space="preserve">3D Ansicht</x:t>
  </x:si>
  <x:si>
    <x:t xml:space="preserve">D1_2D-LAGEPLAN</x:t>
  </x:si>
  <x:si>
    <x:t xml:space="preserve">Nein</x:t>
  </x:si>
  <x:si>
    <x:t xml:space="preserve">Gut: Farbgebung, Markierung der Gebäude mit Buchstaben/Zahlen
Achlecht: Topographielinien zu schwach</x:t>
  </x:si>
  <x:si>
    <x:t xml:space="preserve">Die Maßstab Legende</x:t>
  </x:si>
  <x:si>
    <x:t xml:space="preserve">Der plan</x:t>
  </x:si>
  <x:si>
    <x:t xml:space="preserve">Gefehlt: Farben bei der Höhendarstellung
Beschriftungen der einzelnen Punkte 
Geholfen: Farben,</x:t>
  </x:si>
  <x:si>
    <x:t xml:space="preserve">D3_3D-DRUCK</x:t>
  </x:si>
  <x:si>
    <x:t xml:space="preserve">Was davon außenwand des Klosters ist.meitn es das Haupt Kater oder dienumzäunung ums helände beim Besucher Zentrum</x:t>
  </x:si>
  <x:si>
    <x:t xml:space="preserve">Ich hab keine Ahnung wie ich intuitiv 1:500 interpretiere. Es gibt keinen strichellinie die mir wie auf Karten zeigt welche Distanz in welcher relationnstehrm</x:t>
  </x:si>
  <x:si>
    <x:t xml:space="preserve">Anhaltspunkte auf dem Plan, Mauern</x:t>
  </x:si>
  <x:si>
    <x:t xml:space="preserve">Mit der Höhe habe ich keine Ahnung. Gab es da einen Hinweise?</x:t>
  </x:si>
  <x:si>
    <x:t xml:space="preserve">Die Buchstaben und die verschiedenen Zahlen. Die Färbung speziell für die Gebäude</x:t>
  </x:si>
  <x:si>
    <x:t xml:space="preserve">Woher weiß man, wie lang und hoch alles ist?
Das hab ich nicht verstanden. 
Ansonsten guter, übersichtlicher Lageplan, der leicht Orientierung möglich macht.</x:t>
  </x:si>
  <x:si>
    <x:t xml:space="preserve">Die Drstellung verschiedener Objekte, Gebäude, Bäume ist klar nachvollziehbar und die Nummern und Namen ebenfalls. Ich konnte allerdings nicht nachvollziehen, wie lang die Strecken und Entfernungen sind und auch hoch Dinge liegen oder sind.</x:t>
  </x:si>
  <x:si>
    <x:t xml:space="preserve">Die Wege haben die Bereiche gut unterteilt und die Anordnung insgesamt strukturiert 
Mir hat bei den Ortsbestimmung bei den Beschreibungen die Himmelsrichtung gefehlt aus der ich schaue</x:t>
  </x:si>
  <x:si>
    <x:t xml:space="preserve">Nein :)</x:t>
  </x:si>
  <x:si>
    <x:t xml:space="preserve">Vieles war in rechtecken aufgeteilt, das verhalf zu einem schnellen Überblick/ schneller Orientierung. Nichts war überladen -&gt; viel Lehrraum (Stadtbild wäre schwieriger gewesen)</x:t>
  </x:si>
  <x:si>
    <x:t xml:space="preserve">Die plastische Darstellung der Gebäude hat sehr geholfen, eine Vorstellung des Geländes zu bekommen. Ebenso die eingezeichneten Wege und Bezeichnungen. Lediglich das Schätzen der Abstände hat mir Schwierigkeiten bereitet, da mir zunächst nicht klar war, ob sich der Maßstab auf cm oder m bezieht. Ebenso fiel mir fie (fachliche) Einordnung schwer, wie die Lage zu beschreiben ist, ob es sich um lineare, homologe Anordnung etc. handelt</x:t>
  </x:si>
  <x:si>
    <x:t xml:space="preserve">Ansprechendes Modell. Schnell erkennbar worum es sich handelt.</x:t>
  </x:si>
  <x:si>
    <x:t xml:space="preserve">3 Dimensionale Darstellungsform, Detaillierte Darstellung, Maßstab, Umgebung (Fluss).</x:t>
  </x:si>
  <x:si>
    <x:t xml:space="preserve">-</x:t>
  </x:si>
  <x:si>
    <x:t xml:space="preserve">Die Darstellung war sehr detailliert und strukturiert. Bei den Höhenmetern hatte ich Schwierigkeiten, aber nicht, weil sie nicht gut eingezeichnet waren sondern weil das vergleichen zueinander mir schwer gefallen ist</x:t>
  </x:si>
  <x:si>
    <x:t xml:space="preserve">Gefehlt hat mir persönlich eine Legende direkt auf der Darstellung (Plakat). Mir hat es geholfen, mir die Lage räumlich in Gedanken vorzustellen.</x:t>
  </x:si>
  <x:si>
    <x:t xml:space="preserve">nein</x:t>
  </x:si>
  <x:si>
    <x:t xml:space="preserve">geholfen hat die Beschriftung der Anlagenteile. die entfernungseinsctzung war auf Grund nicht ersichtlicher Längenangaben geraten/geschätzt</x:t>
  </x:si>
  <x:si>
    <x:t xml:space="preserve">Höhenunterschiede durch verschiedene oberflächenstrukturen einzuschätzen ist schwieriger als wenn es ein offensichtlicher Höhenunterschied ist. Gut war, das sich die Fragen auf einen zentralen Bereich beschränkt haben</x:t>
  </x:si>
  <x:si>
    <x:t xml:space="preserve">Das Modell insgesamt hat mir sehr geholfen und auch die Markierungen waren sehr hilfreich.</x:t>
  </x:si>
  <x:si>
    <x:t xml:space="preserve">Nope, viel Erfolg {EM_UPSIDEDOWN_FACE}{EM_SLIGHTLY_SMILING_FACE}{EM_UPSIDEDOWN_FACE}{EM_SLIGHTLY_SMILING_FACE}{EM_UPSIDEDOWN_FACE}{EM_SLIGHTLY_SMILING_FACE}{EM_UPSIDEDOWN_FACE}</x:t>
  </x:si>
  <x:si>
    <x:t xml:space="preserve">Zu versuchen mir den Ort als reale Umgebung vorzustellen. Ob diese dabei realistisch ist, sei natürlich dahingestellt.</x:t>
  </x:si>
  <x:si>
    <x:t xml:space="preserve">Alles klar.</x:t>
  </x:si>
  <x:si>
    <x:t xml:space="preserve">Die Buchstaben zu finden. Aber war gut zu erkennen eigentlich weil das Modell selbst nicht farbig ist.</x:t>
  </x:si>
  <x:si>
    <x:t xml:space="preserve">Fehlender Maßstab</x:t>
  </x:si>
  <x:si>
    <x:t xml:space="preserve">Der Kompass hat geholfen, die 3D-Ansicht gegenüber einer 2D-Ansicht finde ich gut. Gefehlt hat ein Maßstab.</x:t>
  </x:si>
  <x:si>
    <x:t xml:space="preserve">Über die Höhe der Rosskastanie bin ich überrascht.</x:t>
  </x:si>
  <x:si>
    <x:t xml:space="preserve">Die Möglichkeit, der 3D-Schwenk- und -Zoom-Funktion war hilfreich (und auch erforderlich).
Den Maßstab, mit welchem man die Distanz ermitteln habe ich nicht finden können. Daher war ich gezwungen an Vergleichsmaßen (Stufenhöhe, -breite, Tür- und Torbreiten ein Vergleichsmaß zu nehmen und entsprechend abzuschätzen.
Da die Gebäude nicht ausgeblendet werden konnen, ist die Topographie-Frage aus meiner (tatsächlich) Sicht nicht zu beantworten gewesen. Orientiert habe ich mich hier nur an der Gefälletendenz der Außenkontur.</x:t>
  </x:si>
  <x:si>
    <x:t xml:space="preserve">- Kompass in der Ecke
- Kein Maßstab</x:t>
  </x:si>
  <x:si>
    <x:t xml:space="preserve">Den Kompass hab ich erst zu spät entdeckt und ob 8 eine Brücke ist, war mir nicht klar weil der gesamte Untergrund die gleiche Farbe hat.</x:t>
  </x:si>
  <x:si>
    <x:t xml:space="preserve">Geholfen hat mir das eigenständige Rotieren der Karte und die einzelnen beschrifteten Gebäude.
Schwierigkeiten bereitet hat mir, dass die Gebäude so eng zusammen stehen und die Beschriftungen nicht aus allen Winkeln erkennbar waren.</x:t>
  </x:si>
  <x:si>
    <x:t xml:space="preserve">Eine Legende hat gefehlt.</x:t>
  </x:si>
  <x:si>
    <x:t xml:space="preserve">Mir hat ein Maß gefehlt um den Abstand zu bestimmen.</x:t>
  </x:si>
  <x:si>
    <x:t xml:space="preserve">3D Darstellung</x:t>
  </x:si>
  <x:si>
    <x:t xml:space="preserve">Maßangaben haben mir gefehlt.</x:t>
  </x:si>
  <x:si>
    <x:t xml:space="preserve">Welches ist die Klostermauer? Was sind Straßen bzw. Wege?</x:t>
  </x:si>
  <x:si>
    <x:t xml:space="preserve">Farben</x:t>
  </x:si>
  <x:si>
    <x:t xml:space="preserve">Datentabelle (Zeilen 1–41): individuelle Roh- und Berechnungswerte aller 40 Personen</x:t>
  </x:si>
  <x:si>
    <x:t xml:space="preserve">individuelle Score</x:t>
  </x:si>
  <x:si>
    <x:r>
      <x:rPr>
        <x:sz val="1100"/>
        <x:color rgb="FF000000"/>
      </x:rPr>
      <x:t xml:space="preserve">der Mittelwert der jeweiligen </x:t>
    </x:r>
    <x:r>
      <x:rPr>
        <x:sz val="1000"/>
        <x:color rgb="FF000000"/>
        <x:rFont val="Arial Unicode MS"/>
      </x:rPr>
      <x:t xml:space="preserve">REF</x:t>
    </x:r>
    <x:r>
      <x:rPr>
        <x:sz val="1100"/>
        <x:color theme="1"/>
        <x:rFont val="Calibri"/>
        <x:family val="2"/>
        <x:scheme val="minor"/>
      </x:rPr>
      <x:t xml:space="preserve">-Gruppe</x:t>
    </x:r>
  </x:si>
  <x:si>
    <x:r>
      <x:rPr>
        <x:sz val="1000"/>
        <x:color rgb="FF000000"/>
      </x:rPr>
      <x:t xml:space="preserve">BD - BF</x:t>
    </x:r>
    <x:r>
      <x:rPr>
        <x:sz val="1100"/>
        <x:color theme="1"/>
        <x:rFont val="Calibri"/>
        <x:family val="2"/>
        <x:scheme val="minor"/>
      </x:rPr>
      <x:t xml:space="preserve">, also die Abweichung des individuellen Scores vom Gruppenmittelwert</x:t>
    </x:r>
  </x:si>
  <x:si>
    <x:t xml:space="preserve">OV_DIMENSIONEN: Objektiv gemessene Leistung in den vier Dimensionen des räumlichen Verständnisses. Grundlage sind die Korrektheitsvariablen OV01_KORREKT bis OV08_KORREKT, wobei eine korrekt gelöste Aufgabe mit 1 und eine falsch gelöste Aufgabe mit 0 bewertet wird. Je Dimension werden die beiden zugeordneten Korrektheitswerte addiert (Räumliche Erfassung = OV01_KORREKT+OV02_KORREKT; Räumliche Lokalisierung = OV03_KORREKT+OV04_KORREKT; Perspektivische Orientierung = OV05_KORREKT+OV06_KORREKT; Maß-, Größen- und Höhenabschätzung = OV07_KORREKT+OV08_KORREKT). Der Wert liegt je Dimension zwischen 0 und 2 Punkten. Höhere Werte = höhere objektiv gemessene Leistung in der jeweiligen Dimension.</x:t>
  </x:si>
  <x:si>
    <x:r>
      <x:t xml:space="preserve">SV_DIMENSIONEN:</x:t>
    </x:r>
    <x:r>
      <x:rPr>
        <x:sz val="11"/>
        <x:color theme="1"/>
        <x:rFont val="Calibri"/>
        <x:family val="2"/>
        <x:scheme val="minor"/>
      </x:rPr>
      <x:t xml:space="preserve"> Subjektiv wahrgenommene Verständlichkeit in den vier Dimensionen des räumlichen Verständnisses. Für die Dimension „Räumliche Erfassung“ wird der Mittelwert aus </x:t>
    </x:r>
    <x:r>
      <x:rPr>
        <x:sz val="10"/>
        <x:rFont val="Arial Unicode MS"/>
      </x:rPr>
      <x:t xml:space="preserve">SV01</x:t>
    </x:r>
    <x:r>
      <x:rPr>
        <x:sz val="11"/>
        <x:color theme="1"/>
        <x:rFont val="Calibri"/>
        <x:family val="2"/>
        <x:scheme val="minor"/>
      </x:rPr>
      <x:t xml:space="preserve"> und </x:t>
    </x:r>
    <x:r>
      <x:rPr>
        <x:sz val="10"/>
        <x:rFont val="Arial Unicode MS"/>
      </x:rPr>
      <x:t xml:space="preserve">SV02</x:t>
    </x:r>
    <x:r>
      <x:rPr>
        <x:sz val="11"/>
        <x:color theme="1"/>
        <x:rFont val="Calibri"/>
        <x:family val="2"/>
        <x:scheme val="minor"/>
      </x:rPr>
      <x:t xml:space="preserve">, für „Räumliche Lokalisierung“ aus </x:t>
    </x:r>
    <x:r>
      <x:rPr>
        <x:sz val="10"/>
        <x:rFont val="Arial Unicode MS"/>
      </x:rPr>
      <x:t xml:space="preserve">SV03</x:t>
    </x:r>
    <x:r>
      <x:rPr>
        <x:sz val="11"/>
        <x:color theme="1"/>
        <x:rFont val="Calibri"/>
        <x:family val="2"/>
        <x:scheme val="minor"/>
      </x:rPr>
      <x:t xml:space="preserve"> und </x:t>
    </x:r>
    <x:r>
      <x:rPr>
        <x:sz val="10"/>
        <x:rFont val="Arial Unicode MS"/>
      </x:rPr>
      <x:t xml:space="preserve">SV04</x:t>
    </x:r>
    <x:r>
      <x:rPr>
        <x:sz val="11"/>
        <x:color theme="1"/>
        <x:rFont val="Calibri"/>
        <x:family val="2"/>
        <x:scheme val="minor"/>
      </x:rPr>
      <x:t xml:space="preserve">, für „Perspektivische Orientierung“ aus </x:t>
    </x:r>
    <x:r>
      <x:rPr>
        <x:sz val="10"/>
        <x:rFont val="Arial Unicode MS"/>
      </x:rPr>
      <x:t xml:space="preserve">SV05</x:t>
    </x:r>
    <x:r>
      <x:rPr>
        <x:sz val="11"/>
        <x:color theme="1"/>
        <x:rFont val="Calibri"/>
        <x:family val="2"/>
        <x:scheme val="minor"/>
      </x:rPr>
      <x:t xml:space="preserve"> und </x:t>
    </x:r>
    <x:r>
      <x:rPr>
        <x:sz val="10"/>
        <x:rFont val="Arial Unicode MS"/>
      </x:rPr>
      <x:t xml:space="preserve">SV06</x:t>
    </x:r>
    <x:r>
      <x:rPr>
        <x:sz val="11"/>
        <x:color theme="1"/>
        <x:rFont val="Calibri"/>
        <x:family val="2"/>
        <x:scheme val="minor"/>
      </x:rPr>
      <x:t xml:space="preserve"> sowie für „Maß-, Größen- und Höhenabschätzung“ aus </x:t>
    </x:r>
    <x:r>
      <x:rPr>
        <x:sz val="10"/>
        <x:rFont val="Arial Unicode MS"/>
      </x:rPr>
      <x:t xml:space="preserve">SV07</x:t>
    </x:r>
    <x:r>
      <x:rPr>
        <x:sz val="11"/>
        <x:color theme="1"/>
        <x:rFont val="Calibri"/>
        <x:family val="2"/>
        <x:scheme val="minor"/>
      </x:rPr>
      <x:t xml:space="preserve"> und </x:t>
    </x:r>
    <x:r>
      <x:rPr>
        <x:sz val="10"/>
        <x:rFont val="Arial Unicode MS"/>
      </x:rPr>
      <x:t xml:space="preserve">SV08</x:t>
    </x:r>
    <x:r>
      <x:rPr>
        <x:sz val="11"/>
        <x:color theme="1"/>
        <x:rFont val="Calibri"/>
        <x:family val="2"/>
        <x:scheme val="minor"/>
      </x:rPr>
      <x:t xml:space="preserve"> gebildet. Die jeweiligen Werte liegen zwischen 1 und 5. Höhere Werte = positivere subjektive Bewertung der Verständlichkeit in der jeweiligen Dimension.</x:t>
    </x:r>
  </x:si>
  <x:si>
    <x:t xml:space="preserve">Einsen pro Zeile</x:t>
  </x:si>
  <x:si>
    <x:t xml:space="preserve">Ist dieser Datensatz besser oder schlechter als der Durchschnitt seiner eigenen REF-Gruppe?</x:t>
  </x:si>
  <x:si>
    <x:t xml:space="preserve">Darstellungsform</x:t>
  </x:si>
  <x:si>
    <x:t xml:space="preserve">Stichprobengröße (n)</x:t>
  </x:si>
  <x:si>
    <x:t xml:space="preserve">Davon mit fachlichen Grundkenntnissen</x:t>
  </x:si>
  <x:si>
    <x:t xml:space="preserve">Einschlusskriterien: Untersuchungsort noch nie besucht + Fachkenntnisse gehen nicht über Grundkenntnisse hinaus + vollständige Datensätze</x:t>
  </x:si>
  <x:si>
    <x:t xml:space="preserve">Gruppenauswertung: Mittelwerte und Standardabweichungen</x:t>
  </x:si>
  <x:si>
    <x:t xml:space="preserve">Hilfstabelle: Individuelle OV_GESAMT-Werte nach Darstellungsform</x:t>
  </x:si>
  <x:si>
    <x:t xml:space="preserve">N</x:t>
  </x:si>
  <x:si>
    <x:t xml:space="preserve">OV_GESAMT_MW</x:t>
  </x:si>
  <x:si>
    <x:t xml:space="preserve">SV_GESAMT_MW</x:t>
  </x:si>
  <x:si>
    <x:t xml:space="preserve">SV_GLOBAL_MW</x:t>
  </x:si>
  <x:si>
    <x:t xml:space="preserve">OV_ERFASSUNG_MW</x:t>
  </x:si>
  <x:si>
    <x:t xml:space="preserve">OV_LOKALISIERUNG_MW</x:t>
  </x:si>
  <x:si>
    <x:t xml:space="preserve">OV_PERSPEKTIVE_MW</x:t>
  </x:si>
  <x:si>
    <x:t xml:space="preserve">OV_MASS_GROESSE_HOEHE_MW</x:t>
  </x:si>
  <x:si>
    <x:t xml:space="preserve">SV_ERFASSUNG_MW</x:t>
  </x:si>
  <x:si>
    <x:t xml:space="preserve">SV_LOKALISIERUNG_MW</x:t>
  </x:si>
  <x:si>
    <x:t xml:space="preserve">SV_PERSPEKTIVE_MW</x:t>
  </x:si>
  <x:si>
    <x:t xml:space="preserve">SV_MASS_GROESSE_HOEHE_MW</x:t>
  </x:si>
  <x:si>
    <x:t xml:space="preserve">OV_GESAMT_SD</x:t>
  </x:si>
  <x:si>
    <x:t xml:space="preserve">SV_GESAMT_SD</x:t>
  </x:si>
  <x:si>
    <x:t xml:space="preserve">Lageplan</x:t>
  </x:si>
  <x:si>
    <x:t xml:space="preserve">Digitales 3D-Modell</x:t>
  </x:si>
  <x:si>
    <x:t xml:space="preserve">Physisches 3D-Modell</x:t>
  </x:si>
  <x:si>
    <x:t xml:space="preserve">OV_GESAMT_RANG</x:t>
  </x:si>
  <x:si>
    <x:t xml:space="preserve">Rangsumme</x:t>
  </x:si>
  <x:si>
    <x:t xml:space="preserve">KRUSKAL_WALLIS_H</x:t>
  </x:si>
  <x:si>
    <x:t xml:space="preserve">TIE_KORREKTUR</x:t>
  </x:si>
  <x:si>
    <x:t xml:space="preserve">KRUSKAL_WALLIS_H_KORRIGIERT</x:t>
  </x:si>
  <x:si>
    <x:t xml:space="preserve">N = Anzahl der eingeschlossenen Personen in der jeweiligen Gruppe.</x:t>
  </x:si>
  <x:si>
    <x:t xml:space="preserve">P_WERT</x:t>
  </x:si>
  <x:si>
    <x:t xml:space="preserve">SV_GLOBAL_MW: Mittelwert der globalen subjektiven Einschätzung der räumlichen Verständlichkeit (1–5). Höhere Werte = positivere Bewertung.</x:t>
  </x:si>
  <x:si>
    <x:t xml:space="preserve">OV_[DIMENSION]_MW: Mittelwert der objektiven Leistung in der jeweiligen Dimension; Grundlage sind jeweils 2 zugeordnete OV-Items (0–2 Punkte). Höhere Werte = höhere objektive Leistung.</x:t>
  </x:si>
  <x:si>
    <x:t xml:space="preserve">SV_[DIMENSION]_MW: Mittelwert der subjektiv wahrgenommenen Verständlichkeit in der jeweiligen Dimension; Grundlage sind jeweils 2 zugeordnete SV-Items (1–5). Höhere Werte = positivere Bewertung.</x:t>
  </x:si>
  <x:si>
    <x:t xml:space="preserve">RANGMITTEL_LAGEPLAN</x:t>
  </x:si>
  <x:si>
    <x:t xml:space="preserve">RANGMITTEL_DIGITAL</x:t>
  </x:si>
  <x:si>
    <x:t xml:space="preserve">RANGMITTEL_DIFF_LAGEPLAN_DIGITAL</x:t>
  </x:si>
  <x:si>
    <x:t xml:space="preserve">STANDARD_FEHLER_LAGEPLAN_DIGITAL</x:t>
  </x:si>
  <x:si>
    <x:t xml:space="preserve">Z_WERT_LAGEPLAN_DIGITAL</x:t>
  </x:si>
  <x:si>
    <x:t xml:space="preserve">P_WERT_LAGEPLAN_DIGITAL</x:t>
  </x:si>
  <x:si>
    <x:t xml:space="preserve">RANGMITTEL_PHYSISCH</x:t>
  </x:si>
  <x:si>
    <x:t xml:space="preserve">RANGMITTEL_DIFF_LAGEPLAN_PHYSISCH</x:t>
  </x:si>
  <x:si>
    <x:t xml:space="preserve">STANDARD_FEHLER_LAGEPLAN_PHYSISCH</x:t>
  </x:si>
  <x:si>
    <x:t xml:space="preserve">Hilfstabelle: Individuelle SV_GESAMT-Werte nach Darstellungsform</x:t>
  </x:si>
  <x:si>
    <x:t xml:space="preserve">SV_GESAMT_RANG</x:t>
  </x:si>
  <x:si>
    <x:t xml:space="preserve">Hilfstabelle: Zusammenhang zwischen OV_GESAMT und SV_GESAMT nach Darstellungsform</x:t>
  </x:si>
  <x:si>
    <x:t xml:space="preserve">OV_GESAMT_LAGEPLAN</x:t>
  </x:si>
  <x:si>
    <x:t xml:space="preserve">SV_GESAMT_LAGEPLAN</x:t>
  </x:si>
  <x:si>
    <x:t xml:space="preserve">OV_GESAMT_DIGITAL</x:t>
  </x:si>
  <x:si>
    <x:t xml:space="preserve">SV_GESAMT_DIGITAL</x:t>
  </x:si>
  <x:si>
    <x:t xml:space="preserve">OV_GESAMT_PHYSISCH</x:t>
  </x:si>
  <x:si>
    <x:t xml:space="preserve">SV_GESAMT_PHYSISCH</x:t>
  </x:si>
  <x:si>
    <x:t xml:space="preserve">KORRELATION_R_LAGEPLAN</x:t>
  </x:si>
  <x:si>
    <x:t xml:space="preserve">T_WERT_LAGEPLAN</x:t>
  </x:si>
  <x:si>
    <x:t xml:space="preserve">P_WERT_LAGEPLAN</x:t>
  </x:si>
  <x:si>
    <x:t xml:space="preserve">KORRELATION_R_DIGITAL</x:t>
  </x:si>
  <x:si>
    <x:t xml:space="preserve">KORRELATION_R_PHYSISCH</x:t>
  </x:si>
  <x:si>
    <x:t xml:space="preserve">T_WERT_DIGITAL</x:t>
  </x:si>
  <x:si>
    <x:t xml:space="preserve">T_WERT_PHYSISCH</x:t>
  </x:si>
  <x:si>
    <x:t xml:space="preserve">P_WERT_DIGITAL</x:t>
  </x:si>
  <x:si>
    <x:t xml:space="preserve">P_WERT_PHYSISCH</x:t>
  </x:si>
</x:sst>
</file>

<file path=xl/styles.xml><?xml version="1.0" encoding="utf-8"?>
<x:styleSheet xmlns:x="http://schemas.openxmlformats.org/spreadsheetml/2006/main">
  <x:numFmts count="6">
    <x:numFmt numFmtId="164" formatCode="yyyy\-mm\-dd\ hh:mm:ss"/>
    <x:numFmt numFmtId="165" formatCode="0.000"/>
    <x:numFmt numFmtId="200" formatCode="0"/>
    <x:numFmt numFmtId="201" formatCode="0.00"/>
    <x:numFmt numFmtId="202" formatCode="0.0000"/>
    <x:numFmt numFmtId="203" formatCode="0.0%"/>
  </x:numFmts>
  <x:fonts count="12">
    <x:font>
      <x:sz val="11"/>
      <x:color theme="1"/>
      <x:name val="Calibri"/>
    </x:font>
    <x:font>
      <x:sz val="10"/>
      <x:name val="Arial Unicode MS"/>
    </x:font>
    <x:font>
      <x:b/>
      <x:sz val="10"/>
      <x:name val="Arial"/>
    </x:font>
    <x:font>
      <x:sz val="10"/>
      <x:name val="Arial"/>
    </x:font>
    <x:font>
      <x:sz val="10"/>
      <x:color rgb="FF1F2933"/>
      <x:name val="Calibri"/>
    </x:font>
    <x:font>
      <x:b/>
      <x:sz val="16"/>
      <x:color rgb="FFFFFFFF"/>
      <x:name val="Calibri"/>
    </x:font>
    <x:font>
      <x:b/>
      <x:sz val="11"/>
      <x:color rgb="FF173C2B"/>
      <x:name val="Calibri"/>
    </x:font>
    <x:font>
      <x:b/>
      <x:sz val="10"/>
      <x:color rgb="FFFFFFFF"/>
      <x:name val="Calibri"/>
    </x:font>
    <x:font>
      <x:b/>
      <x:sz val="12"/>
      <x:color rgb="FF173E2D"/>
      <x:name val="Calibri"/>
    </x:font>
    <x:font>
      <x:b/>
      <x:sz val="11"/>
      <x:color rgb="FFFFFFFF"/>
      <x:name val="Calibri"/>
    </x:font>
    <x:font>
      <x:i/>
      <x:sz val="11"/>
      <x:color theme="1"/>
      <x:name val="Calibri"/>
    </x:font>
    <x:font>
      <x:b/>
      <x:sz val="11"/>
      <x:color rgb="FF173E2D"/>
      <x:name val="Calibri"/>
    </x:font>
  </x:fonts>
  <x:fills count="15">
    <x:fill>
      <x:patternFill patternType="none"/>
    </x:fill>
    <x:fill>
      <x:patternFill patternType="gray125"/>
    </x:fill>
    <x:fill>
      <x:patternFill patternType="solid">
        <x:fgColor theme="7" tint="0.59999"/>
      </x:patternFill>
    </x:fill>
    <x:fill>
      <x:patternFill patternType="solid">
        <x:fgColor theme="5" tint="0.39998"/>
      </x:patternFill>
    </x:fill>
    <x:fill>
      <x:patternFill patternType="solid">
        <x:fgColor theme="7" tint="0.39998"/>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24543D"/>
      </x:patternFill>
    </x:fill>
    <x:fill>
      <x:patternFill patternType="solid">
        <x:fgColor rgb="FFDCEBDD"/>
      </x:patternFill>
    </x:fill>
    <x:fill>
      <x:patternFill patternType="solid">
        <x:fgColor rgb="FFF4F8F4"/>
      </x:patternFill>
    </x:fill>
    <x:fill>
      <x:patternFill patternType="solid">
        <x:fgColor rgb="FFEAF3EA"/>
      </x:patternFill>
    </x:fill>
    <x:fill>
      <x:patternFill patternType="solid">
        <x:fgColor rgb="FF245B43"/>
      </x:patternFill>
    </x:fill>
    <x:fill>
      <x:patternFill patternType="solid">
        <x:fgColor rgb="FFDCEBDD"/>
      </x:patternFill>
    </x:fill>
    <x:fill>
      <x:patternFill patternType="solid">
        <x:fgColor rgb="FFEEF5F0"/>
      </x:patternFill>
    </x:fill>
  </x:fills>
  <x:borders count="2">
    <x:border/>
    <x:border/>
  </x:borders>
  <x:cellStyleXfs count="1">
    <x:xf numFmtId="0" fontId="0" fillId="0" borderId="0"/>
  </x:cellStyleXfs>
  <x:cellXfs count="176">
    <x:xf numFmtId="0" fontId="0" fillId="0" borderId="0" xfId="0"/>
    <x:xf numFmtId="0" fontId="0" fillId="2" borderId="0" xfId="0" applyFill="1"/>
    <x:xf numFmtId="0" fontId="1" fillId="2" borderId="0" xfId="0" applyFont="1" applyFill="1"/>
    <x:xf numFmtId="0" fontId="1" fillId="3" borderId="0" xfId="0" applyFont="1" applyFill="1"/>
    <x:xf numFmtId="1" fontId="0" fillId="4" borderId="0" xfId="0" applyNumberFormat="1" applyFill="1"/>
    <x:xf numFmtId="2" fontId="0" fillId="0" borderId="0" xfId="0" applyNumberFormat="1"/>
    <x:xf numFmtId="0" fontId="1" fillId="0" borderId="0" xfId="0" applyFont="1"/>
    <x:xf numFmtId="1" fontId="0" fillId="0" borderId="0" xfId="0" applyNumberFormat="1"/>
    <x:xf numFmtId="49" fontId="0" fillId="0" borderId="0" xfId="0" applyNumberFormat="1"/>
    <x:xf numFmtId="164" fontId="0" fillId="0" borderId="0" xfId="0" applyNumberFormat="1"/>
    <x:xf numFmtId="1" fontId="0" fillId="2" borderId="0" xfId="0" applyNumberFormat="1" applyFill="1"/>
    <x:xf numFmtId="1" fontId="0" fillId="3" borderId="0" xfId="0" applyNumberFormat="1" applyFill="1"/>
    <x:xf numFmtId="2" fontId="2" fillId="0" borderId="0" xfId="0" applyNumberFormat="1" applyFont="1"/>
    <x:xf numFmtId="0" fontId="0" fillId="3" borderId="0" xfId="0" applyFill="1"/>
    <x:xf numFmtId="2" fontId="2" fillId="3" borderId="0" xfId="0" applyNumberFormat="1" applyFont="1" applyFill="1"/>
    <x:xf numFmtId="2" fontId="2" fillId="2" borderId="0" xfId="0" applyNumberFormat="1" applyFont="1" applyFill="1"/>
    <x:xf numFmtId="0" fontId="0" fillId="4" borderId="0" xfId="0" applyFill="1"/>
    <x:xf numFmtId="2" fontId="2" fillId="4" borderId="0" xfId="0" applyNumberFormat="1" applyFont="1" applyFill="1"/>
    <x:xf numFmtId="0" fontId="1" fillId="4" borderId="0" xfId="0" applyFont="1" applyFill="1"/>
    <x:xf numFmtId="0" fontId="2" fillId="0" borderId="0" xfId="0" applyFont="1"/>
    <x:xf numFmtId="0" fontId="3" fillId="0" borderId="0" xfId="0" applyFont="1"/>
    <x:xf numFmtId="0" fontId="0" fillId="5" borderId="0" xfId="0" applyFill="1"/>
    <x:xf numFmtId="0" fontId="0" fillId="6" borderId="0" xfId="0" applyFill="1"/>
    <x:xf numFmtId="0" fontId="0" fillId="7" borderId="0" xfId="0" applyFill="1"/>
    <x:xf numFmtId="165" fontId="0" fillId="0" borderId="0" xfId="0" applyNumberFormat="1"/>
    <x:xf numFmtId="0" fontId="0" fillId="0" borderId="1"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3" borderId="1" xfId="0" applyNumberFormat="1" applyFont="1" applyFill="1" applyBorder="1"/>
    <x:xf numFmtId="1" fontId="0" fillId="4" borderId="1" xfId="0" applyNumberFormat="1" applyFont="1" applyFill="1" applyBorder="1"/>
    <x:xf numFmtId="2" fontId="0" fillId="0" borderId="1" xfId="0" applyNumberFormat="1" applyFont="1" applyFill="1" applyBorder="1"/>
    <x:xf numFmtId="0" fontId="1" fillId="0" borderId="1" xfId="0" applyNumberFormat="1" applyFont="1" applyFill="1" applyBorder="1"/>
    <x:xf numFmtId="1" fontId="0" fillId="0" borderId="1" xfId="0" applyNumberFormat="1" applyFont="1" applyFill="1" applyBorder="1"/>
    <x:xf numFmtId="49" fontId="0" fillId="0" borderId="1" xfId="0" applyNumberFormat="1" applyFont="1" applyFill="1" applyBorder="1"/>
    <x:xf numFmtId="164" fontId="0" fillId="0" borderId="1" xfId="0" applyNumberFormat="1" applyFont="1" applyFill="1" applyBorder="1"/>
    <x:xf numFmtId="1" fontId="0" fillId="2" borderId="1" xfId="0" applyNumberFormat="1" applyFont="1" applyFill="1" applyBorder="1"/>
    <x:xf numFmtId="1" fontId="0" fillId="3" borderId="1" xfId="0" applyNumberFormat="1" applyFont="1" applyFill="1" applyBorder="1"/>
    <x:xf numFmtId="2" fontId="2" fillId="0" borderId="1" xfId="0" applyNumberFormat="1" applyFont="1" applyFill="1" applyBorder="1"/>
    <x:xf numFmtId="0" fontId="0" fillId="3" borderId="1" xfId="0" applyNumberFormat="1" applyFont="1" applyFill="1" applyBorder="1"/>
    <x:xf numFmtId="2" fontId="2" fillId="3" borderId="1" xfId="0" applyNumberFormat="1" applyFont="1" applyFill="1" applyBorder="1"/>
    <x:xf numFmtId="2" fontId="2" fillId="2" borderId="1" xfId="0" applyNumberFormat="1" applyFont="1" applyFill="1" applyBorder="1"/>
    <x:xf numFmtId="0" fontId="0" fillId="4" borderId="1" xfId="0" applyNumberFormat="1" applyFont="1" applyFill="1" applyBorder="1"/>
    <x:xf numFmtId="2" fontId="2" fillId="4" borderId="1" xfId="0" applyNumberFormat="1" applyFont="1" applyFill="1" applyBorder="1"/>
    <x:xf numFmtId="0" fontId="1" fillId="4" borderId="1" xfId="0" applyNumberFormat="1" applyFont="1" applyFill="1" applyBorder="1"/>
    <x:xf numFmtId="0" fontId="2" fillId="0" borderId="1" xfId="0" applyNumberFormat="1" applyFont="1" applyFill="1" applyBorder="1"/>
    <x:xf numFmtId="0" fontId="3" fillId="0" borderId="1" xfId="0" applyNumberFormat="1" applyFont="1" applyFill="1" applyBorder="1"/>
    <x:xf numFmtId="0" fontId="0" fillId="5" borderId="1" xfId="0" applyNumberFormat="1" applyFont="1" applyFill="1" applyBorder="1"/>
    <x:xf numFmtId="0" fontId="0" fillId="6" borderId="1" xfId="0" applyNumberFormat="1" applyFont="1" applyFill="1" applyBorder="1"/>
    <x:xf numFmtId="0" fontId="0" fillId="7" borderId="1" xfId="0" applyNumberFormat="1" applyFont="1" applyFill="1" applyBorder="1"/>
    <x:xf numFmtId="165" fontId="0"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vertical="top"/>
    </x:xf>
    <x:xf numFmtId="0" fontId="4" fillId="0" borderId="1"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5" fillId="8" borderId="0" xfId="0" applyNumberFormat="1" applyFont="1" applyFill="1" applyBorder="1" applyAlignment="1">
      <x:alignment horizontal="left" vertical="top" wrapText="1"/>
    </x:xf>
    <x:xf numFmtId="0" fontId="5" fillId="8" borderId="0" xfId="0" applyNumberFormat="1" applyFont="1" applyFill="1" applyBorder="1" applyAlignment="1">
      <x:alignment horizontal="left" vertical="center" wrapText="1"/>
    </x:xf>
    <x:xf numFmtId="0" fontId="4" fillId="8" borderId="1" xfId="0" applyNumberFormat="1" applyFont="1" applyFill="1" applyBorder="1" applyAlignment="1">
      <x:alignment vertical="top" wrapText="1"/>
    </x:xf>
    <x:xf numFmtId="0" fontId="5" fillId="8" borderId="1" xfId="0" applyNumberFormat="1" applyFont="1" applyFill="1" applyBorder="1" applyAlignment="1">
      <x:alignment vertical="top" wrapText="1"/>
    </x:xf>
    <x:xf numFmtId="0" fontId="5" fillId="8" borderId="1" xfId="0" applyNumberFormat="1" applyFont="1" applyFill="1" applyBorder="1" applyAlignment="1">
      <x:alignment horizontal="left" vertical="top" wrapText="1"/>
    </x:xf>
    <x:xf numFmtId="0" fontId="5" fillId="8" borderId="1" xfId="0" applyNumberFormat="1" applyFont="1" applyFill="1" applyBorder="1" applyAlignment="1">
      <x:alignment horizontal="left" vertical="center" wrapText="1"/>
    </x:xf>
    <x:xf numFmtId="0" fontId="4" fillId="9"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6" fillId="9" borderId="0" xfId="0" applyNumberFormat="1" applyFont="1" applyFill="1" applyBorder="1" applyAlignment="1">
      <x:alignment vertical="center" wrapText="1"/>
    </x:xf>
    <x:xf numFmtId="0" fontId="4" fillId="9" borderId="1" xfId="0" applyNumberFormat="1" applyFont="1" applyFill="1" applyBorder="1" applyAlignment="1">
      <x:alignment vertical="top" wrapText="1"/>
    </x:xf>
    <x:xf numFmtId="0" fontId="6" fillId="9" borderId="1" xfId="0" applyNumberFormat="1" applyFont="1" applyFill="1" applyBorder="1" applyAlignment="1">
      <x:alignment vertical="top" wrapText="1"/>
    </x:xf>
    <x:xf numFmtId="0" fontId="6" fillId="9" borderId="1" xfId="0" applyNumberFormat="1" applyFont="1" applyFill="1" applyBorder="1" applyAlignment="1">
      <x:alignment vertical="center" wrapText="1"/>
    </x:xf>
    <x:xf numFmtId="0" fontId="7" fillId="8" borderId="0" xfId="0" applyNumberFormat="1" applyFont="1" applyFill="1" applyBorder="1" applyAlignment="1">
      <x:alignment vertical="top" wrapText="1"/>
    </x:xf>
    <x:xf numFmtId="0" fontId="7" fillId="8" borderId="0" xfId="0" applyNumberFormat="1" applyFont="1" applyFill="1" applyBorder="1" applyAlignment="1">
      <x:alignment horizontal="center" vertical="top" wrapText="1"/>
    </x:xf>
    <x:xf numFmtId="0" fontId="7" fillId="8" borderId="0" xfId="0" applyNumberFormat="1" applyFont="1" applyFill="1" applyBorder="1" applyAlignment="1">
      <x:alignment horizontal="center" vertical="center" wrapText="1"/>
    </x:xf>
    <x:xf numFmtId="0" fontId="7" fillId="8" borderId="1" xfId="0" applyNumberFormat="1" applyFont="1" applyFill="1" applyBorder="1" applyAlignment="1">
      <x:alignment vertical="top" wrapText="1"/>
    </x:xf>
    <x:xf numFmtId="0" fontId="7" fillId="8" borderId="1" xfId="0" applyNumberFormat="1" applyFont="1" applyFill="1" applyBorder="1" applyAlignment="1">
      <x:alignment horizontal="center" vertical="top" wrapText="1"/>
    </x:xf>
    <x:xf numFmtId="0" fontId="7" fillId="8" borderId="1" xfId="0" applyNumberFormat="1" applyFont="1" applyFill="1" applyBorder="1" applyAlignment="1">
      <x:alignment horizontal="center" vertical="center" wrapText="1"/>
    </x:xf>
    <x:xf numFmtId="0" fontId="4" fillId="10" borderId="0" xfId="0" applyNumberFormat="1" applyFont="1" applyFill="1" applyBorder="1" applyAlignment="1">
      <x:alignment vertical="top" wrapText="1"/>
    </x:xf>
    <x:xf numFmtId="0" fontId="4" fillId="10" borderId="1"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 xfId="0" applyNumberFormat="1" applyFont="1" applyFill="1" applyBorder="1" applyAlignment="1">
      <x:alignment vertical="top" wrapText="1"/>
    </x:xf>
    <x:xf numFmtId="165" fontId="4" fillId="10" borderId="0" xfId="0" applyNumberFormat="1" applyFont="1" applyFill="1" applyBorder="1" applyAlignment="1">
      <x:alignment vertical="top" wrapText="1"/>
    </x:xf>
    <x:xf numFmtId="165" fontId="4" fillId="10" borderId="1" xfId="0" applyNumberFormat="1" applyFont="1" applyFill="1" applyBorder="1" applyAlignment="1">
      <x:alignment vertical="top" wrapText="1"/>
    </x:xf>
    <x:xf numFmtId="165" fontId="4" fillId="11" borderId="0" xfId="0" applyNumberFormat="1" applyFont="1" applyFill="1" applyBorder="1" applyAlignment="1">
      <x:alignment vertical="top" wrapText="1"/>
    </x:xf>
    <x:xf numFmtId="165" fontId="4" fillId="11" borderId="1" xfId="0" applyNumberFormat="1" applyFont="1" applyFill="1" applyBorder="1" applyAlignment="1">
      <x:alignment vertical="top" wrapText="1"/>
    </x:xf>
    <x:xf numFmtId="200" fontId="4" fillId="10" borderId="0" xfId="0" applyNumberFormat="1" applyFont="1" applyFill="1" applyBorder="1" applyAlignment="1">
      <x:alignment vertical="top" wrapText="1"/>
    </x:xf>
    <x:xf numFmtId="200" fontId="4" fillId="10" borderId="1" xfId="0" applyNumberFormat="1" applyFont="1" applyFill="1" applyBorder="1" applyAlignment="1">
      <x:alignment vertical="top" wrapText="1"/>
    </x:xf>
    <x:xf numFmtId="201" fontId="4" fillId="10" borderId="0" xfId="0" applyNumberFormat="1" applyFont="1" applyFill="1" applyBorder="1" applyAlignment="1">
      <x:alignment vertical="top" wrapText="1"/>
    </x:xf>
    <x:xf numFmtId="201" fontId="4" fillId="10" borderId="1" xfId="0" applyNumberFormat="1" applyFont="1" applyFill="1" applyBorder="1" applyAlignment="1">
      <x:alignment vertical="top" wrapText="1"/>
    </x:xf>
    <x:xf numFmtId="200" fontId="4" fillId="11" borderId="0" xfId="0" applyNumberFormat="1" applyFont="1" applyFill="1" applyBorder="1" applyAlignment="1">
      <x:alignment vertical="top" wrapText="1"/>
    </x:xf>
    <x:xf numFmtId="200" fontId="4" fillId="11" borderId="1" xfId="0" applyNumberFormat="1" applyFont="1" applyFill="1" applyBorder="1" applyAlignment="1">
      <x:alignment vertical="top" wrapText="1"/>
    </x:xf>
    <x:xf numFmtId="202" fontId="4" fillId="11" borderId="0" xfId="0" applyNumberFormat="1" applyFont="1" applyFill="1" applyBorder="1" applyAlignment="1">
      <x:alignment vertical="top" wrapText="1"/>
    </x:xf>
    <x:xf numFmtId="202" fontId="4" fillId="10" borderId="0" xfId="0" applyNumberFormat="1" applyFont="1" applyFill="1" applyBorder="1" applyAlignment="1">
      <x:alignment vertical="top" wrapText="1"/>
    </x:xf>
    <x:xf numFmtId="202" fontId="4" fillId="11" borderId="1" xfId="0" applyNumberFormat="1" applyFont="1" applyFill="1" applyBorder="1" applyAlignment="1">
      <x:alignment vertical="top" wrapText="1"/>
    </x:xf>
    <x:xf numFmtId="202" fontId="4" fillId="10" borderId="1" xfId="0" applyNumberFormat="1" applyFont="1" applyFill="1" applyBorder="1" applyAlignment="1">
      <x:alignment vertical="top" wrapText="1"/>
    </x:xf>
    <x:xf numFmtId="200" fontId="4" fillId="10" borderId="0" xfId="0" applyNumberFormat="1" applyFont="1" applyFill="1" applyBorder="1" applyAlignment="1">
      <x:alignment horizontal="center" vertical="top" wrapText="1"/>
    </x:xf>
    <x:xf numFmtId="201" fontId="4" fillId="10" borderId="0" xfId="0" applyNumberFormat="1" applyFont="1" applyFill="1" applyBorder="1" applyAlignment="1">
      <x:alignment horizontal="center" vertical="top" wrapText="1"/>
    </x:xf>
    <x:xf numFmtId="200" fontId="4" fillId="10" borderId="1" xfId="0" applyNumberFormat="1" applyFont="1" applyFill="1" applyBorder="1" applyAlignment="1">
      <x:alignment horizontal="center" vertical="top" wrapText="1"/>
    </x:xf>
    <x:xf numFmtId="201" fontId="4" fillId="10" borderId="1" xfId="0" applyNumberFormat="1" applyFont="1" applyFill="1" applyBorder="1" applyAlignment="1">
      <x:alignment horizontal="center" vertical="top" wrapText="1"/>
    </x:xf>
    <x:xf numFmtId="165" fontId="4" fillId="11" borderId="0" xfId="0" applyNumberFormat="1" applyFont="1" applyFill="1" applyBorder="1" applyAlignment="1">
      <x:alignment horizontal="center" vertical="top" wrapText="1"/>
    </x:xf>
    <x:xf numFmtId="200" fontId="4" fillId="11" borderId="0" xfId="0" applyNumberFormat="1" applyFont="1" applyFill="1" applyBorder="1" applyAlignment="1">
      <x:alignment horizontal="center" vertical="top" wrapText="1"/>
    </x:xf>
    <x:xf numFmtId="202" fontId="4" fillId="11" borderId="0" xfId="0" applyNumberFormat="1" applyFont="1" applyFill="1" applyBorder="1" applyAlignment="1">
      <x:alignment horizontal="center" vertical="top" wrapText="1"/>
    </x:xf>
    <x:xf numFmtId="165" fontId="4" fillId="10" borderId="0" xfId="0" applyNumberFormat="1" applyFont="1" applyFill="1" applyBorder="1" applyAlignment="1">
      <x:alignment horizontal="center" vertical="top" wrapText="1"/>
    </x:xf>
    <x:xf numFmtId="202" fontId="4" fillId="10" borderId="0" xfId="0" applyNumberFormat="1" applyFont="1" applyFill="1" applyBorder="1" applyAlignment="1">
      <x:alignment horizontal="center" vertical="top" wrapText="1"/>
    </x:xf>
    <x:xf numFmtId="165" fontId="4" fillId="11" borderId="1" xfId="0" applyNumberFormat="1" applyFont="1" applyFill="1" applyBorder="1" applyAlignment="1">
      <x:alignment horizontal="center" vertical="top" wrapText="1"/>
    </x:xf>
    <x:xf numFmtId="200" fontId="4" fillId="11" borderId="1" xfId="0" applyNumberFormat="1" applyFont="1" applyFill="1" applyBorder="1" applyAlignment="1">
      <x:alignment horizontal="center" vertical="top" wrapText="1"/>
    </x:xf>
    <x:xf numFmtId="202" fontId="4" fillId="11" borderId="1" xfId="0" applyNumberFormat="1" applyFont="1" applyFill="1" applyBorder="1" applyAlignment="1">
      <x:alignment horizontal="center" vertical="top" wrapText="1"/>
    </x:xf>
    <x:xf numFmtId="165" fontId="4" fillId="10" borderId="1" xfId="0" applyNumberFormat="1" applyFont="1" applyFill="1" applyBorder="1" applyAlignment="1">
      <x:alignment horizontal="center" vertical="top" wrapText="1"/>
    </x:xf>
    <x:xf numFmtId="202" fontId="4" fillId="10" borderId="1" xfId="0" applyNumberFormat="1" applyFont="1" applyFill="1" applyBorder="1" applyAlignment="1">
      <x:alignment horizontal="center"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3" borderId="0" xfId="0" applyNumberFormat="1" applyFont="1" applyFill="1" applyBorder="1"/>
    <x:xf numFmtId="1" fontId="0" fillId="4" borderId="0" xfId="0" applyNumberFormat="1" applyFont="1" applyFill="1" applyBorder="1"/>
    <x:xf numFmtId="2" fontId="0" fillId="0" borderId="0" xfId="0" applyNumberFormat="1" applyFont="1" applyFill="1" applyBorder="1"/>
    <x:xf numFmtId="0" fontId="1" fillId="0" borderId="0" xfId="0" applyNumberFormat="1" applyFont="1" applyFill="1" applyBorder="1"/>
    <x:xf numFmtId="1" fontId="0" fillId="0" borderId="0" xfId="0" applyNumberFormat="1" applyFont="1" applyFill="1" applyBorder="1"/>
    <x:xf numFmtId="49" fontId="0" fillId="0" borderId="0" xfId="0" applyNumberFormat="1" applyFont="1" applyFill="1" applyBorder="1"/>
    <x:xf numFmtId="164" fontId="0" fillId="0" borderId="0" xfId="0" applyNumberFormat="1" applyFont="1" applyFill="1" applyBorder="1"/>
    <x:xf numFmtId="1" fontId="0" fillId="2" borderId="0" xfId="0" applyNumberFormat="1" applyFont="1" applyFill="1" applyBorder="1"/>
    <x:xf numFmtId="1" fontId="0" fillId="3" borderId="0" xfId="0" applyNumberFormat="1" applyFont="1" applyFill="1" applyBorder="1"/>
    <x:xf numFmtId="2" fontId="2" fillId="0" borderId="0" xfId="0" applyNumberFormat="1" applyFont="1" applyFill="1" applyBorder="1"/>
    <x:xf numFmtId="0" fontId="0" fillId="3" borderId="0" xfId="0" applyNumberFormat="1" applyFont="1" applyFill="1" applyBorder="1"/>
    <x:xf numFmtId="2" fontId="2" fillId="3" borderId="0" xfId="0" applyNumberFormat="1" applyFont="1" applyFill="1" applyBorder="1"/>
    <x:xf numFmtId="2" fontId="2" fillId="2" borderId="0" xfId="0" applyNumberFormat="1" applyFont="1" applyFill="1" applyBorder="1"/>
    <x:xf numFmtId="0" fontId="0" fillId="4" borderId="0" xfId="0" applyNumberFormat="1" applyFont="1" applyFill="1" applyBorder="1"/>
    <x:xf numFmtId="2" fontId="2" fillId="4" borderId="0" xfId="0" applyNumberFormat="1" applyFont="1" applyFill="1" applyBorder="1"/>
    <x:xf numFmtId="0" fontId="1" fillId="4"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5" borderId="0" xfId="0" applyNumberFormat="1" applyFont="1" applyFill="1" applyBorder="1"/>
    <x:xf numFmtId="0" fontId="0" fillId="6" borderId="0" xfId="0" applyNumberFormat="1" applyFont="1" applyFill="1" applyBorder="1"/>
    <x:xf numFmtId="0" fontId="0" fillId="7" borderId="0" xfId="0" applyNumberFormat="1" applyFont="1" applyFill="1" applyBorder="1"/>
    <x:xf numFmtId="165" fontId="0" fillId="0" borderId="0" xfId="0" applyNumberFormat="1" applyFont="1" applyFill="1" applyBorder="1"/>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vertical="center"/>
    </x:xf>
    <x:xf numFmtId="0" fontId="0" fillId="13" borderId="0" xfId="0" applyNumberFormat="1" applyFont="1" applyFill="1" applyBorder="1"/>
    <x:xf numFmtId="0" fontId="8" fillId="13"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horizontal="center"/>
    </x:xf>
    <x:xf numFmtId="201" fontId="0" fillId="0" borderId="0" xfId="0" applyNumberFormat="1" applyFont="1" applyFill="1" applyBorder="1"/>
    <x:xf numFmtId="203" fontId="0" fillId="0" borderId="0" xfId="0" applyNumberFormat="1" applyFont="1" applyFill="1" applyBorder="1"/>
    <x:xf numFmtId="0" fontId="0" fillId="14" borderId="0" xfId="0" applyNumberFormat="1" applyFont="1" applyFill="1" applyBorder="1"/>
    <x:xf numFmtId="0" fontId="10" fillId="14" borderId="0" xfId="0" applyNumberFormat="1" applyFont="1" applyFill="1" applyBorder="1"/>
    <x:xf numFmtId="0" fontId="10" fillId="14"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12" borderId="0" xfId="0" applyNumberFormat="1" applyFont="1" applyFill="1" applyBorder="1" applyAlignment="1">
      <x:alignment vertical="top"/>
    </x:xf>
    <x:xf numFmtId="0" fontId="0" fillId="0" borderId="0" xfId="0" applyNumberFormat="1" applyFont="1" applyFill="1" applyBorder="1" applyAlignment="1">
      <x:alignment vertical="top"/>
    </x:xf>
    <x:xf numFmtId="0" fontId="8" fillId="13" borderId="0" xfId="0" applyNumberFormat="1" applyFont="1" applyFill="1" applyBorder="1" applyAlignment="1">
      <x:alignment vertical="top"/>
    </x:xf>
    <x:xf numFmtId="0" fontId="9" fillId="12" borderId="0" xfId="0" applyNumberFormat="1" applyFont="1" applyFill="1" applyBorder="1" applyAlignment="1">
      <x:alignment horizontal="center" vertical="top"/>
    </x:xf>
    <x:xf numFmtId="201" fontId="0" fillId="0" borderId="0" xfId="0" applyNumberFormat="1" applyFont="1" applyFill="1" applyBorder="1" applyAlignment="1">
      <x:alignment vertical="top"/>
    </x:xf>
    <x:xf numFmtId="203" fontId="0" fillId="0" borderId="0" xfId="0" applyNumberFormat="1" applyFont="1" applyFill="1" applyBorder="1" applyAlignment="1">
      <x:alignment vertical="top"/>
    </x:xf>
    <x:xf numFmtId="0" fontId="10" fillId="14"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9" fillId="12" borderId="0" xfId="0" applyNumberFormat="1" applyFont="1" applyFill="1" applyBorder="1" applyAlignment="1">
      <x:alignment horizontal="center" vertical="top" wrapText="1"/>
    </x:xf>
    <x:xf numFmtId="201"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0" fontId="9" fillId="12" borderId="0" xfId="0" applyNumberFormat="1" applyFont="1" applyFill="1" applyBorder="1" applyAlignment="1">
      <x:alignment horizontal="center" wrapText="1"/>
    </x:xf>
    <x:xf numFmtId="0" fontId="5" fillId="12" borderId="0" xfId="0" applyNumberFormat="1" applyFont="1" applyFill="1" applyBorder="1" applyAlignment="1">
      <x:alignment wrapText="1"/>
    </x:xf>
    <x:xf numFmtId="0" fontId="8" fillId="13" borderId="0" xfId="0" applyNumberFormat="1" applyFont="1" applyFill="1" applyBorder="1" applyAlignment="1">
      <x:alignment wrapText="1"/>
    </x:xf>
    <x:xf numFmtId="0" fontId="4" fillId="13" borderId="0" xfId="0" applyNumberFormat="1" applyFont="1" applyFill="1" applyBorder="1" applyAlignment="1">
      <x:alignment vertical="top" wrapText="1"/>
    </x:xf>
    <x:xf numFmtId="0" fontId="11" fillId="13" borderId="0" xfId="0" applyNumberFormat="1" applyFont="1" applyFill="1" applyBorder="1"/>
    <x:xf numFmtId="200" fontId="9" fillId="12" borderId="0" xfId="0" applyNumberFormat="1" applyFont="1" applyFill="1" applyBorder="1" applyAlignment="1">
      <x:alignment horizontal="center"/>
    </x:xf>
    <x:xf numFmtId="200" fontId="0" fillId="0" borderId="0" xfId="0" applyNumberFormat="1" applyFont="1" applyFill="1" applyBorder="1"/>
    <x:xf numFmtId="0" fontId="0" fillId="12" borderId="0"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vertical="top"/>
    </x:xf>
    <x:xf numFmtId="0" fontId="8" fillId="9" borderId="0" xfId="0" applyNumberFormat="1" applyFont="1" applyFill="1" applyBorder="1" applyAlignment="1">
      <x:alignment vertical="top" wrapText="1"/>
    </x:xf>
    <x:xf numFmtId="0" fontId="8" fillId="9" borderId="0" xfId="0" applyNumberFormat="1" applyFont="1" applyFill="1" applyBorder="1" applyAlignment="1">
      <x:alignment wrapText="1"/>
    </x:xf>
    <x:xf numFmtId="0" fontId="11" fillId="9" borderId="0" xfId="0" applyNumberFormat="1" applyFont="1" applyFill="1" applyBorder="1"/>
    <x:xf numFmtId="0" fontId="0" fillId="3" borderId="0" xfId="0" applyNumberFormat="1" applyFont="1" applyFill="1" applyBorder="1" applyAlignment="1">
      <x:alignment wrapText="1"/>
    </x:xf>
    <x:xf numFmtId="0" fontId="0" fillId="2" borderId="0" xfId="0" applyNumberFormat="1" applyFont="1" applyFill="1" applyBorder="1" applyAlignment="1">
      <x:alignment wrapText="1"/>
    </x:xf>
  </x:cellXfs>
  <x:cellStyles count="1">
    <x:cellStyle name="Standard" xfId="0"/>
  </x:cellStyles>
</x:styleSheet>
</file>

<file path=xl/_rels/workbook.xml.rels>&#65279;<?xml version="1.0" encoding="utf-8"?><Relationships xmlns="http://schemas.openxmlformats.org/package/2006/relationships"><Relationship Type="http://schemas.openxmlformats.org/officeDocument/2006/relationships/styles" Target="/xl/styles.xml" Id="R0dea89f6df614223" /><Relationship Type="http://schemas.openxmlformats.org/officeDocument/2006/relationships/theme" Target="/xl/theme/theme1.xml" Id="R97c1a0823f294223" /><Relationship Type="http://schemas.openxmlformats.org/officeDocument/2006/relationships/sheetMetadata" Target="/xl/metadata1.xml" Id="Rcbd902382e4644e8" /><Relationship Type="http://schemas.openxmlformats.org/officeDocument/2006/relationships/sharedStrings" Target="/xl/sharedStrings.xml" Id="R0a395f1dd7004a71" /><Relationship Type="http://schemas.openxmlformats.org/officeDocument/2006/relationships/worksheet" Target="/xl/worksheets/sheet1.xml" Id="R772c5945f8b846cd" /><Relationship Type="http://schemas.openxmlformats.org/officeDocument/2006/relationships/worksheet" Target="/xl/worksheets/sheet2.xml" Id="Rd5391c448b904952" /><Relationship Type="http://schemas.openxmlformats.org/officeDocument/2006/relationships/worksheet" Target="/xl/worksheets/sheet3.xml" Id="R35bfbab1a5c64ce3" /><Relationship Type="http://schemas.openxmlformats.org/officeDocument/2006/relationships/worksheet" Target="/xl/worksheets/sheet4.xml" Id="Ra63f4a8964b341c1" /><Relationship Type="http://schemas.openxmlformats.org/officeDocument/2006/relationships/worksheet" Target="/xl/worksheets/sheet5.xml" Id="R481ff1219bcd495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RowHeight="15"/>
  <x:cols>
    <x:col min="1" max="1" width="20.85546875" customWidth="1"/>
    <x:col min="3" max="3" width="17" customWidth="1"/>
    <x:col min="4" max="4" width="16.7109375" customWidth="1"/>
    <x:col min="5" max="5" width="16.28515625" customWidth="1"/>
    <x:col min="6" max="6" width="20.5703125" customWidth="1"/>
    <x:col min="7" max="7" width="23.5703125" customWidth="1"/>
    <x:col min="8" max="8" width="20.85546875" customWidth="1"/>
    <x:col min="9" max="9" width="32.85546875" customWidth="1"/>
    <x:col min="10" max="10" width="19.28515625" customWidth="1"/>
    <x:col min="11" max="11" width="23.42578125" customWidth="1"/>
    <x:col min="12" max="12" width="20.85546875" customWidth="1"/>
    <x:col min="13" max="13" width="31" customWidth="1"/>
    <x:col min="14" max="14" width="17.140625" customWidth="1"/>
    <x:col min="15" max="15" width="16.28515625" customWidth="1"/>
    <x:col min="16" max="16" width="5.85546875" customWidth="1"/>
    <x:col min="17" max="17" width="13.42578125" customWidth="1"/>
    <x:col min="18" max="18" width="18.42578125" customWidth="1"/>
    <x:col min="19" max="19" width="20.28515625" customWidth="1"/>
    <x:col min="20" max="20" width="13.5703125" customWidth="1"/>
    <x:col min="21" max="21" width="19.140625" customWidth="1"/>
    <x:col min="22" max="22" width="21" customWidth="1"/>
    <x:col min="23" max="23" width="12.28515625" customWidth="1"/>
    <x:col min="24" max="24" width="5.85546875" customWidth="1"/>
    <x:col min="25" max="25" width="14" customWidth="1"/>
    <x:col min="26" max="27" width="5.85546875" customWidth="1"/>
    <x:col min="28" max="35" width="5.5703125" customWidth="1"/>
    <x:col min="37" max="37" width="11.140625" customWidth="1"/>
    <x:col min="43" max="43" width="6.28515625" customWidth="1"/>
    <x:col min="44" max="44" width="6.42578125" customWidth="1"/>
  </x:cols>
  <x:sheetData>
    <x:row r="1">
      <x:c r="A1" t="s">
        <x:v>0</x:v>
      </x:c>
      <x:c r="B1" t="s">
        <x:v>1</x:v>
      </x:c>
      <x:c r="C1" t="s">
        <x:v>2</x:v>
      </x:c>
      <x:c r="D1" t="s">
        <x:v>3</x:v>
      </x:c>
      <x:c r="E1" t="s">
        <x:v>4</x:v>
      </x:c>
      <x:c r="F1" t="s">
        <x:v>5</x:v>
      </x:c>
      <x:c r="G1" t="s">
        <x:v>6</x:v>
      </x:c>
      <x:c r="H1" t="s">
        <x:v>7</x:v>
      </x:c>
      <x:c r="I1" t="s">
        <x:v>8</x:v>
      </x:c>
      <x:c r="J1" t="s">
        <x:v>9</x:v>
      </x:c>
      <x:c r="K1" t="s">
        <x:v>10</x:v>
      </x:c>
      <x:c r="L1" t="s">
        <x:v>11</x:v>
      </x:c>
      <x:c r="M1" t="s">
        <x:v>12</x:v>
      </x:c>
      <x:c r="N1" t="s">
        <x:v>13</x:v>
      </x:c>
      <x:c r="O1" s="1" t="s">
        <x:v>14</x:v>
      </x:c>
      <x:c r="P1" s="2" t="s">
        <x:v>15</x:v>
      </x:c>
      <x:c r="Q1" s="2" t="s">
        <x:v>16</x:v>
      </x:c>
      <x:c r="R1" s="1" t="s">
        <x:v>17</x:v>
      </x:c>
      <x:c r="S1" s="2" t="s">
        <x:v>18</x:v>
      </x:c>
      <x:c r="T1" s="2" t="s">
        <x:v>19</x:v>
      </x:c>
      <x:c r="U1" s="2" t="s">
        <x:v>20</x:v>
      </x:c>
      <x:c r="V1" s="2" t="s">
        <x:v>21</x:v>
      </x:c>
      <x:c r="W1" s="3" t="s">
        <x:v>22</x:v>
      </x:c>
      <x:c r="X1" s="4" t="s">
        <x:v>23</x:v>
      </x:c>
      <x:c r="Y1" s="4" t="s">
        <x:v>24</x:v>
      </x:c>
      <x:c r="Z1" s="4" t="s">
        <x:v>25</x:v>
      </x:c>
      <x:c r="AA1" s="4" t="s">
        <x:v>26</x:v>
      </x:c>
      <x:c r="AB1" t="s">
        <x:v>27</x:v>
      </x:c>
      <x:c r="AC1" t="s">
        <x:v>28</x:v>
      </x:c>
      <x:c r="AD1" t="s">
        <x:v>29</x:v>
      </x:c>
      <x:c r="AE1" t="s">
        <x:v>30</x:v>
      </x:c>
      <x:c r="AF1" t="s">
        <x:v>31</x:v>
      </x:c>
      <x:c r="AG1" t="s">
        <x:v>32</x:v>
      </x:c>
      <x:c r="AH1" t="s">
        <x:v>33</x:v>
      </x:c>
      <x:c r="AI1" t="s">
        <x:v>34</x:v>
      </x:c>
      <x:c r="AJ1" t="s">
        <x:v>35</x:v>
      </x:c>
      <x:c r="AK1" s="1" t="s">
        <x:v>36</x:v>
      </x:c>
      <x:c r="AL1" s="1" t="s">
        <x:v>37</x:v>
      </x:c>
      <x:c r="AM1" s="1" t="s">
        <x:v>38</x:v>
      </x:c>
      <x:c r="AN1" s="1" t="s">
        <x:v>39</x:v>
      </x:c>
      <x:c r="AO1" s="1" t="s">
        <x:v>40</x:v>
      </x:c>
      <x:c r="AP1" t="s">
        <x:v>41</x:v>
      </x:c>
      <x:c r="AQ1" t="s">
        <x:v>42</x:v>
      </x:c>
      <x:c r="AR1" t="s">
        <x:v>43</x:v>
      </x:c>
      <x:c r="AS1" t="s">
        <x:v>44</x:v>
      </x:c>
      <x:c r="AT1" t="s">
        <x:v>45</x:v>
      </x:c>
      <x:c r="AU1" s="5" t="s">
        <x:v>46</x:v>
      </x:c>
      <x:c r="AV1" s="5" t="s">
        <x:v>47</x:v>
      </x:c>
      <x:c r="AW1" s="6" t="s">
        <x:v>48</x:v>
      </x:c>
    </x:row>
    <x:row r="2">
      <x:c r="A2" s="7">
        <x:v>207</x:v>
      </x:c>
      <x:c r="B2" s="8" t="s">
        <x:v>49</x:v>
      </x:c>
      <x:c r="C2" s="9">
        <x:v>46261.660879629999</x:v>
      </x:c>
      <x:c r="D2" s="7">
        <x:v>1</x:v>
      </x:c>
      <x:c r="E2" s="7">
        <x:v>1</x:v>
      </x:c>
      <x:c r="F2" s="8" t="s">
        <x:v>50</x:v>
      </x:c>
      <x:c r="G2" s="7">
        <x:v>1</x:v>
      </x:c>
      <x:c r="H2" s="7">
        <x:v>3</x:v>
      </x:c>
      <x:c r="I2" s="7">
        <x:v>2</x:v>
      </x:c>
      <x:c r="J2" s="7">
        <x:v>2</x:v>
      </x:c>
      <x:c r="K2" s="7">
        <x:v>4</x:v>
      </x:c>
      <x:c r="L2" s="7">
        <x:v>2</x:v>
      </x:c>
      <x:c r="M2" s="7">
        <x:v>1</x:v>
      </x:c>
      <x:c r="N2" s="7">
        <x:v>3</x:v>
      </x:c>
      <x:c r="O2" s="10" t="n">
        <x:f>IF(G2=1,1,0)</x:f>
        <x:v>1</x:v>
      </x:c>
      <x:c r="P2" s="10" t="n">
        <x:f>IF(H2=1,1,0)</x:f>
        <x:v>0</x:v>
      </x:c>
      <x:c r="Q2" s="10" t="n">
        <x:f>IF(I2=1,1,0)</x:f>
        <x:v>0</x:v>
      </x:c>
      <x:c r="R2" s="10" t="n">
        <x:f>IF(J2=1,1,0)</x:f>
        <x:v>0</x:v>
      </x:c>
      <x:c r="S2" s="10" t="n">
        <x:f>IF(K2=1,1,0)</x:f>
        <x:v>0</x:v>
      </x:c>
      <x:c r="T2" s="10" t="n">
        <x:f>IF(L2=1,1,0)</x:f>
        <x:v>0</x:v>
      </x:c>
      <x:c r="U2" s="10" t="n">
        <x:f>IF(M2=1,1,0)</x:f>
        <x:v>1</x:v>
      </x:c>
      <x:c r="V2" s="10" t="n">
        <x:f>IF(N2=1,1,0)</x:f>
        <x:v>0</x:v>
      </x:c>
      <x:c r="W2" s="11" t="n">
        <x:f>SUM(O2:V2)</x:f>
        <x:v>2</x:v>
      </x:c>
      <x:c r="X2" s="4" t="n">
        <x:f>SUM(O2:P2)</x:f>
        <x:v>1</x:v>
      </x:c>
      <x:c r="Y2" s="4" t="n">
        <x:f>SUM(Q2:R2)</x:f>
        <x:v>0</x:v>
      </x:c>
      <x:c r="Z2" s="4" t="n">
        <x:f>SUM(S2:T2)</x:f>
        <x:v>0</x:v>
      </x:c>
      <x:c r="AA2" s="4" t="n">
        <x:f>SUM(U2:V2)</x:f>
        <x:v>1</x:v>
      </x:c>
      <x:c r="AB2" s="7">
        <x:v>2</x:v>
      </x:c>
      <x:c r="AC2" s="7">
        <x:v>3</x:v>
      </x:c>
      <x:c r="AD2" s="7">
        <x:v>4</x:v>
      </x:c>
      <x:c r="AE2" s="7">
        <x:v>3</x:v>
      </x:c>
      <x:c r="AF2" s="7">
        <x:v>2</x:v>
      </x:c>
      <x:c r="AG2" s="7">
        <x:v>2</x:v>
      </x:c>
      <x:c r="AH2" s="7">
        <x:v>3</x:v>
      </x:c>
      <x:c r="AI2" s="7">
        <x:v>3</x:v>
      </x:c>
      <x:c r="AJ2" s="7">
        <x:v>3</x:v>
      </x:c>
      <x:c r="AK2" s="10" t="n">
        <x:f>AVERAGE(AB2:AI2)</x:f>
        <x:v>2.75</x:v>
      </x:c>
      <x:c r="AL2" s="10" t="n">
        <x:f>AVERAGE(AB2:AC2)</x:f>
        <x:v>2.5</x:v>
      </x:c>
      <x:c r="AM2" s="10" t="n">
        <x:f>AVERAGE(AD2:AE2)</x:f>
        <x:v>3.5</x:v>
      </x:c>
      <x:c r="AN2" s="10" t="n">
        <x:f>AVERAGE(AF2:AG2)</x:f>
        <x:v>2</x:v>
      </x:c>
      <x:c r="AO2" s="10" t="n">
        <x:f>AVERAGE(AH2:AI2)</x:f>
        <x:v>3</x:v>
      </x:c>
      <x:c r="AP2" s="8"/>
      <x:c r="AQ2" s="7">
        <x:v>1038</x:v>
      </x:c>
      <x:c r="AR2" s="5">
        <x:v>0.44</x:v>
      </x:c>
      <x:c r="AS2" t="s">
        <x:v>51</x:v>
      </x:c>
      <x:c r="AT2" t="n">
        <x:f>COUNTIF(G2:N2,1)</x:f>
        <x:v>2</x:v>
      </x:c>
      <x:c r="AU2" s="5" t="n">
        <x:f>AVERAGE(AB2:AI2)</x:f>
        <x:v>2.75</x:v>
      </x:c>
      <x:c r="AV2" s="5" t="n">
        <x:f>SUMIFS($AT$2:$AT$41,$B$2:$B$41,B2,$AS$2:$AS$41,"Einschluss")/COUNTIFS($B$2:$B$41,B2,$AS$2:$AS$41,"Einschluss")</x:f>
        <x:v>4.75</x:v>
      </x:c>
      <x:c r="AW2" s="5" t="n">
        <x:f>AT2-AV2</x:f>
        <x:v>-2.75</x:v>
      </x:c>
    </x:row>
    <x:row r="3">
      <x:c r="A3" s="7">
        <x:v>208</x:v>
      </x:c>
      <x:c r="B3" s="8" t="s">
        <x:v>49</x:v>
      </x:c>
      <x:c r="C3" s="9">
        <x:v>46261.678495369997</x:v>
      </x:c>
      <x:c r="D3" s="7">
        <x:v>1</x:v>
      </x:c>
      <x:c r="E3" s="7">
        <x:v>1</x:v>
      </x:c>
      <x:c r="F3" s="8" t="s">
        <x:v>52</x:v>
      </x:c>
      <x:c r="G3" s="7">
        <x:v>1</x:v>
      </x:c>
      <x:c r="H3" s="7">
        <x:v>2</x:v>
      </x:c>
      <x:c r="I3" s="7">
        <x:v>1</x:v>
      </x:c>
      <x:c r="J3" s="7">
        <x:v>1</x:v>
      </x:c>
      <x:c r="K3" s="7">
        <x:v>4</x:v>
      </x:c>
      <x:c r="L3" s="7">
        <x:v>1</x:v>
      </x:c>
      <x:c r="M3" s="7">
        <x:v>3</x:v>
      </x:c>
      <x:c r="N3" s="7">
        <x:v>2</x:v>
      </x:c>
      <x:c r="O3" s="10" t="n">
        <x:f t="shared" ref="O3:V34" si="0">IF(G3=1,1,0)</x:f>
        <x:v>1</x:v>
      </x:c>
      <x:c r="P3" s="10" t="n">
        <x:f t="shared" si="0">IF(H3=1,1,0)</x:f>
        <x:v>0</x:v>
      </x:c>
      <x:c r="Q3" s="10" t="n">
        <x:f t="shared" si="0">IF(I3=1,1,0)</x:f>
        <x:v>1</x:v>
      </x:c>
      <x:c r="R3" s="10" t="n">
        <x:f t="shared" si="0">IF(J3=1,1,0)</x:f>
        <x:v>1</x:v>
      </x:c>
      <x:c r="S3" s="10" t="n">
        <x:f t="shared" si="0">IF(K3=1,1,0)</x:f>
        <x:v>0</x:v>
      </x:c>
      <x:c r="T3" s="10" t="n">
        <x:f t="shared" si="0">IF(L3=1,1,0)</x:f>
        <x:v>1</x:v>
      </x:c>
      <x:c r="U3" s="10" t="n">
        <x:f t="shared" si="0">IF(M3=1,1,0)</x:f>
        <x:v>0</x:v>
      </x:c>
      <x:c r="V3" s="10" t="n">
        <x:f t="shared" si="0">IF(N3=1,1,0)</x:f>
        <x:v>0</x:v>
      </x:c>
      <x:c r="W3" s="11" t="n">
        <x:f t="shared" ref="W3:W41" si="1">SUM(O3:V3)</x:f>
        <x:v>4</x:v>
      </x:c>
      <x:c r="X3" s="4" t="n">
        <x:f t="shared" ref="X3:X41" si="2">SUM(O3:P3)</x:f>
        <x:v>1</x:v>
      </x:c>
      <x:c r="Y3" s="4" t="n">
        <x:f t="shared" ref="Y3:Y41" si="3">SUM(Q3:R3)</x:f>
        <x:v>2</x:v>
      </x:c>
      <x:c r="Z3" s="4" t="n">
        <x:f t="shared" ref="Z3:Z41" si="4">SUM(S3:T3)</x:f>
        <x:v>1</x:v>
      </x:c>
      <x:c r="AA3" s="4" t="n">
        <x:f t="shared" ref="AA3:AA41" si="5">SUM(U3:V3)</x:f>
        <x:v>0</x:v>
      </x:c>
      <x:c r="AB3" s="7">
        <x:v>4</x:v>
      </x:c>
      <x:c r="AC3" s="7">
        <x:v>3</x:v>
      </x:c>
      <x:c r="AD3" s="7">
        <x:v>5</x:v>
      </x:c>
      <x:c r="AE3" s="7">
        <x:v>3</x:v>
      </x:c>
      <x:c r="AF3" s="7">
        <x:v>4</x:v>
      </x:c>
      <x:c r="AG3" s="7">
        <x:v>5</x:v>
      </x:c>
      <x:c r="AH3" s="7">
        <x:v>2</x:v>
      </x:c>
      <x:c r="AI3" s="7">
        <x:v>4</x:v>
      </x:c>
      <x:c r="AJ3" s="7">
        <x:v>5</x:v>
      </x:c>
      <x:c r="AK3" s="10" t="n">
        <x:f t="shared" ref="AK3:AK41" si="6">AVERAGE(AB3:AI3)</x:f>
        <x:v>3.75</x:v>
      </x:c>
      <x:c r="AL3" s="10" t="n">
        <x:f t="shared" ref="AL3:AL41" si="7">AVERAGE(AB3:AC3)</x:f>
        <x:v>3.5</x:v>
      </x:c>
      <x:c r="AM3" s="10" t="n">
        <x:f t="shared" ref="AM3:AM41" si="8">AVERAGE(AD3:AE3)</x:f>
        <x:v>4</x:v>
      </x:c>
      <x:c r="AN3" s="10" t="n">
        <x:f t="shared" ref="AN3:AN41" si="9">AVERAGE(AF3:AG3)</x:f>
        <x:v>4.5</x:v>
      </x:c>
      <x:c r="AO3" s="10" t="n">
        <x:f t="shared" ref="AO3:AO41" si="10">AVERAGE(AH3:AI3)</x:f>
        <x:v>3</x:v>
      </x:c>
      <x:c r="AP3" s="8" t="s">
        <x:v>53</x:v>
      </x:c>
      <x:c r="AQ3" s="7">
        <x:v>763</x:v>
      </x:c>
      <x:c r="AR3" s="5">
        <x:v>0.84</x:v>
      </x:c>
      <x:c r="AS3" t="s">
        <x:v>51</x:v>
      </x:c>
      <x:c r="AT3" t="n">
        <x:f>COUNTIF(G3:N3,1)</x:f>
        <x:v>4</x:v>
      </x:c>
      <x:c r="AU3" s="5" t="n">
        <x:f>AVERAGE(AB3:AI3)</x:f>
        <x:v>3.75</x:v>
      </x:c>
      <x:c r="AV3" s="5" t="n">
        <x:f>SUMIFS($AT$2:$AT$41,$B$2:$B$41,B3,$AS$2:$AS$41,"Einschluss")/COUNTIFS($B$2:$B$41,B3,$AS$2:$AS$41,"Einschluss")</x:f>
        <x:v>4.75</x:v>
      </x:c>
      <x:c r="AW3" s="5" t="n">
        <x:f t="shared" ref="AW3:AW41" si="11">AT3-AV3</x:f>
        <x:v>-0.75</x:v>
      </x:c>
    </x:row>
    <x:row r="4">
      <x:c r="A4" s="7">
        <x:v>209</x:v>
      </x:c>
      <x:c r="B4" s="8" t="s">
        <x:v>49</x:v>
      </x:c>
      <x:c r="C4" s="9">
        <x:v>46261.690879629998</x:v>
      </x:c>
      <x:c r="D4" s="7">
        <x:v>1</x:v>
      </x:c>
      <x:c r="E4" s="7">
        <x:v>1</x:v>
      </x:c>
      <x:c r="F4" s="8"/>
      <x:c r="G4" s="7">
        <x:v>1</x:v>
      </x:c>
      <x:c r="H4" s="7">
        <x:v>1</x:v>
      </x:c>
      <x:c r="I4" s="7">
        <x:v>1</x:v>
      </x:c>
      <x:c r="J4" s="7">
        <x:v>1</x:v>
      </x:c>
      <x:c r="K4" s="7">
        <x:v>1</x:v>
      </x:c>
      <x:c r="L4" s="7">
        <x:v>4</x:v>
      </x:c>
      <x:c r="M4" s="7">
        <x:v>3</x:v>
      </x:c>
      <x:c r="N4" s="7">
        <x:v>3</x:v>
      </x:c>
      <x:c r="O4" s="10" t="n">
        <x:f t="shared" si="0">IF(G4=1,1,0)</x:f>
        <x:v>1</x:v>
      </x:c>
      <x:c r="P4" s="10" t="n">
        <x:f t="shared" si="0">IF(H4=1,1,0)</x:f>
        <x:v>1</x:v>
      </x:c>
      <x:c r="Q4" s="10" t="n">
        <x:f t="shared" si="0">IF(I4=1,1,0)</x:f>
        <x:v>1</x:v>
      </x:c>
      <x:c r="R4" s="10" t="n">
        <x:f t="shared" si="0">IF(J4=1,1,0)</x:f>
        <x:v>1</x:v>
      </x:c>
      <x:c r="S4" s="10" t="n">
        <x:f t="shared" si="0">IF(K4=1,1,0)</x:f>
        <x:v>1</x:v>
      </x:c>
      <x:c r="T4" s="10" t="n">
        <x:f t="shared" si="0">IF(L4=1,1,0)</x:f>
        <x:v>0</x:v>
      </x:c>
      <x:c r="U4" s="10" t="n">
        <x:f t="shared" si="0">IF(M4=1,1,0)</x:f>
        <x:v>0</x:v>
      </x:c>
      <x:c r="V4" s="10" t="n">
        <x:f t="shared" si="0">IF(N4=1,1,0)</x:f>
        <x:v>0</x:v>
      </x:c>
      <x:c r="W4" s="11" t="n">
        <x:f t="shared" si="1">SUM(O4:V4)</x:f>
        <x:v>5</x:v>
      </x:c>
      <x:c r="X4" s="4" t="n">
        <x:f t="shared" si="2">SUM(O4:P4)</x:f>
        <x:v>2</x:v>
      </x:c>
      <x:c r="Y4" s="4" t="n">
        <x:f t="shared" si="3">SUM(Q4:R4)</x:f>
        <x:v>2</x:v>
      </x:c>
      <x:c r="Z4" s="4" t="n">
        <x:f t="shared" si="4">SUM(S4:T4)</x:f>
        <x:v>1</x:v>
      </x:c>
      <x:c r="AA4" s="4" t="n">
        <x:f t="shared" si="5">SUM(U4:V4)</x:f>
        <x:v>0</x:v>
      </x:c>
      <x:c r="AB4" s="7">
        <x:v>3</x:v>
      </x:c>
      <x:c r="AC4" s="7">
        <x:v>4</x:v>
      </x:c>
      <x:c r="AD4" s="7">
        <x:v>4</x:v>
      </x:c>
      <x:c r="AE4" s="7">
        <x:v>3</x:v>
      </x:c>
      <x:c r="AF4" s="7">
        <x:v>2</x:v>
      </x:c>
      <x:c r="AG4" s="7">
        <x:v>3</x:v>
      </x:c>
      <x:c r="AH4" s="7">
        <x:v>2</x:v>
      </x:c>
      <x:c r="AI4" s="7">
        <x:v>1</x:v>
      </x:c>
      <x:c r="AJ4" s="7">
        <x:v>3</x:v>
      </x:c>
      <x:c r="AK4" s="10" t="n">
        <x:f t="shared" si="6">AVERAGE(AB4:AI4)</x:f>
        <x:v>2.75</x:v>
      </x:c>
      <x:c r="AL4" s="10" t="n">
        <x:f t="shared" si="7">AVERAGE(AB4:AC4)</x:f>
        <x:v>3.5</x:v>
      </x:c>
      <x:c r="AM4" s="10" t="n">
        <x:f t="shared" si="8">AVERAGE(AD4:AE4)</x:f>
        <x:v>3.5</x:v>
      </x:c>
      <x:c r="AN4" s="10" t="n">
        <x:f t="shared" si="9">AVERAGE(AF4:AG4)</x:f>
        <x:v>2.5</x:v>
      </x:c>
      <x:c r="AO4" s="10" t="n">
        <x:f t="shared" si="10">AVERAGE(AH4:AI4)</x:f>
        <x:v>1.5</x:v>
      </x:c>
      <x:c r="AP4" s="8" t="s">
        <x:v>54</x:v>
      </x:c>
      <x:c r="AQ4" s="7">
        <x:v>931</x:v>
      </x:c>
      <x:c r="AR4" s="5">
        <x:v>0.66</x:v>
      </x:c>
      <x:c r="AS4" t="s">
        <x:v>51</x:v>
      </x:c>
      <x:c r="AT4" t="n">
        <x:f>COUNTIF(G4:N4,1)</x:f>
        <x:v>5</x:v>
      </x:c>
      <x:c r="AU4" s="5" t="n">
        <x:f>AVERAGE(AB4:AI4)</x:f>
        <x:v>2.75</x:v>
      </x:c>
      <x:c r="AV4" s="5" t="n">
        <x:f>SUMIFS($AT$2:$AT$41,$B$2:$B$41,B4,$AS$2:$AS$41,"Einschluss")/COUNTIFS($B$2:$B$41,B4,$AS$2:$AS$41,"Einschluss")</x:f>
        <x:v>4.75</x:v>
      </x:c>
      <x:c r="AW4" s="5" t="n">
        <x:f t="shared" si="11">AT4-AV4</x:f>
        <x:v>0.25</x:v>
      </x:c>
    </x:row>
    <x:row r="5">
      <x:c r="A5" s="7">
        <x:v>220</x:v>
      </x:c>
      <x:c r="B5" s="8" t="s">
        <x:v>49</x:v>
      </x:c>
      <x:c r="C5" s="9">
        <x:v>46262.361273148003</x:v>
      </x:c>
      <x:c r="D5" s="7">
        <x:v>1</x:v>
      </x:c>
      <x:c r="E5" s="7">
        <x:v>1</x:v>
      </x:c>
      <x:c r="F5" s="8" t="s">
        <x:v>55</x:v>
      </x:c>
      <x:c r="G5" s="7">
        <x:v>1</x:v>
      </x:c>
      <x:c r="H5" s="7">
        <x:v>3</x:v>
      </x:c>
      <x:c r="I5" s="7">
        <x:v>1</x:v>
      </x:c>
      <x:c r="J5" s="7">
        <x:v>1</x:v>
      </x:c>
      <x:c r="K5" s="7">
        <x:v>1</x:v>
      </x:c>
      <x:c r="L5" s="7">
        <x:v>1</x:v>
      </x:c>
      <x:c r="M5" s="7">
        <x:v>4</x:v>
      </x:c>
      <x:c r="N5" s="7">
        <x:v>1</x:v>
      </x:c>
      <x:c r="O5" s="10" t="n">
        <x:f t="shared" si="0">IF(G5=1,1,0)</x:f>
        <x:v>1</x:v>
      </x:c>
      <x:c r="P5" s="10" t="n">
        <x:f t="shared" si="0">IF(H5=1,1,0)</x:f>
        <x:v>0</x:v>
      </x:c>
      <x:c r="Q5" s="10" t="n">
        <x:f t="shared" si="0">IF(I5=1,1,0)</x:f>
        <x:v>1</x:v>
      </x:c>
      <x:c r="R5" s="10" t="n">
        <x:f t="shared" si="0">IF(J5=1,1,0)</x:f>
        <x:v>1</x:v>
      </x:c>
      <x:c r="S5" s="10" t="n">
        <x:f t="shared" si="0">IF(K5=1,1,0)</x:f>
        <x:v>1</x:v>
      </x:c>
      <x:c r="T5" s="10" t="n">
        <x:f t="shared" si="0">IF(L5=1,1,0)</x:f>
        <x:v>1</x:v>
      </x:c>
      <x:c r="U5" s="10" t="n">
        <x:f t="shared" si="0">IF(M5=1,1,0)</x:f>
        <x:v>0</x:v>
      </x:c>
      <x:c r="V5" s="10" t="n">
        <x:f t="shared" si="0">IF(N5=1,1,0)</x:f>
        <x:v>1</x:v>
      </x:c>
      <x:c r="W5" s="11" t="n">
        <x:f t="shared" si="1">SUM(O5:V5)</x:f>
        <x:v>6</x:v>
      </x:c>
      <x:c r="X5" s="4" t="n">
        <x:f t="shared" si="2">SUM(O5:P5)</x:f>
        <x:v>1</x:v>
      </x:c>
      <x:c r="Y5" s="4" t="n">
        <x:f t="shared" si="3">SUM(Q5:R5)</x:f>
        <x:v>2</x:v>
      </x:c>
      <x:c r="Z5" s="4" t="n">
        <x:f t="shared" si="4">SUM(S5:T5)</x:f>
        <x:v>2</x:v>
      </x:c>
      <x:c r="AA5" s="4" t="n">
        <x:f t="shared" si="5">SUM(U5:V5)</x:f>
        <x:v>1</x:v>
      </x:c>
      <x:c r="AB5" s="7">
        <x:v>5</x:v>
      </x:c>
      <x:c r="AC5" s="7">
        <x:v>5</x:v>
      </x:c>
      <x:c r="AD5" s="7">
        <x:v>5</x:v>
      </x:c>
      <x:c r="AE5" s="7">
        <x:v>5</x:v>
      </x:c>
      <x:c r="AF5" s="7">
        <x:v>5</x:v>
      </x:c>
      <x:c r="AG5" s="7">
        <x:v>4</x:v>
      </x:c>
      <x:c r="AH5" s="7">
        <x:v>3</x:v>
      </x:c>
      <x:c r="AI5" s="7">
        <x:v>4</x:v>
      </x:c>
      <x:c r="AJ5" s="7">
        <x:v>4</x:v>
      </x:c>
      <x:c r="AK5" s="10" t="n">
        <x:f t="shared" si="6">AVERAGE(AB5:AI5)</x:f>
        <x:v>4.5</x:v>
      </x:c>
      <x:c r="AL5" s="10" t="n">
        <x:f t="shared" si="7">AVERAGE(AB5:AC5)</x:f>
        <x:v>5</x:v>
      </x:c>
      <x:c r="AM5" s="10" t="n">
        <x:f t="shared" si="8">AVERAGE(AD5:AE5)</x:f>
        <x:v>5</x:v>
      </x:c>
      <x:c r="AN5" s="10" t="n">
        <x:f t="shared" si="9">AVERAGE(AF5:AG5)</x:f>
        <x:v>4.5</x:v>
      </x:c>
      <x:c r="AO5" s="10" t="n">
        <x:f t="shared" si="10">AVERAGE(AH5:AI5)</x:f>
        <x:v>3.5</x:v>
      </x:c>
      <x:c r="AP5" s="8" t="s">
        <x:v>56</x:v>
      </x:c>
      <x:c r="AQ5" s="7">
        <x:v>628</x:v>
      </x:c>
      <x:c r="AR5" s="5">
        <x:v>1.22</x:v>
      </x:c>
      <x:c r="AS5" t="s">
        <x:v>51</x:v>
      </x:c>
      <x:c r="AT5" t="n">
        <x:f>COUNTIF(G5:N5,1)</x:f>
        <x:v>6</x:v>
      </x:c>
      <x:c r="AU5" s="5" t="n">
        <x:f>AVERAGE(AB5:AI5)</x:f>
        <x:v>4.5</x:v>
      </x:c>
      <x:c r="AV5" s="5" t="n">
        <x:f>SUMIFS($AT$2:$AT$41,$B$2:$B$41,B5,$AS$2:$AS$41,"Einschluss")/COUNTIFS($B$2:$B$41,B5,$AS$2:$AS$41,"Einschluss")</x:f>
        <x:v>4.75</x:v>
      </x:c>
      <x:c r="AW5" s="5" t="n">
        <x:f t="shared" si="11">AT5-AV5</x:f>
        <x:v>1.25</x:v>
      </x:c>
    </x:row>
    <x:row r="6">
      <x:c r="A6" s="7">
        <x:v>222</x:v>
      </x:c>
      <x:c r="B6" s="8" t="s">
        <x:v>49</x:v>
      </x:c>
      <x:c r="C6" s="9">
        <x:v>46262.385138889003</x:v>
      </x:c>
      <x:c r="D6" s="7">
        <x:v>1</x:v>
      </x:c>
      <x:c r="E6" s="7">
        <x:v>1</x:v>
      </x:c>
      <x:c r="F6" s="8"/>
      <x:c r="G6" s="7">
        <x:v>1</x:v>
      </x:c>
      <x:c r="H6" s="7">
        <x:v>2</x:v>
      </x:c>
      <x:c r="I6" s="7">
        <x:v>1</x:v>
      </x:c>
      <x:c r="J6" s="7">
        <x:v>1</x:v>
      </x:c>
      <x:c r="K6" s="7">
        <x:v>1</x:v>
      </x:c>
      <x:c r="L6" s="7">
        <x:v>1</x:v>
      </x:c>
      <x:c r="M6" s="7">
        <x:v>2</x:v>
      </x:c>
      <x:c r="N6" s="7">
        <x:v>3</x:v>
      </x:c>
      <x:c r="O6" s="10" t="n">
        <x:f t="shared" si="0">IF(G6=1,1,0)</x:f>
        <x:v>1</x:v>
      </x:c>
      <x:c r="P6" s="10" t="n">
        <x:f t="shared" si="0">IF(H6=1,1,0)</x:f>
        <x:v>0</x:v>
      </x:c>
      <x:c r="Q6" s="10" t="n">
        <x:f t="shared" si="0">IF(I6=1,1,0)</x:f>
        <x:v>1</x:v>
      </x:c>
      <x:c r="R6" s="10" t="n">
        <x:f t="shared" si="0">IF(J6=1,1,0)</x:f>
        <x:v>1</x:v>
      </x:c>
      <x:c r="S6" s="10" t="n">
        <x:f t="shared" si="0">IF(K6=1,1,0)</x:f>
        <x:v>1</x:v>
      </x:c>
      <x:c r="T6" s="10" t="n">
        <x:f t="shared" si="0">IF(L6=1,1,0)</x:f>
        <x:v>1</x:v>
      </x:c>
      <x:c r="U6" s="10" t="n">
        <x:f t="shared" si="0">IF(M6=1,1,0)</x:f>
        <x:v>0</x:v>
      </x:c>
      <x:c r="V6" s="10" t="n">
        <x:f t="shared" si="0">IF(N6=1,1,0)</x:f>
        <x:v>0</x:v>
      </x:c>
      <x:c r="W6" s="11" t="n">
        <x:f t="shared" si="1">SUM(O6:V6)</x:f>
        <x:v>5</x:v>
      </x:c>
      <x:c r="X6" s="4" t="n">
        <x:f t="shared" si="2">SUM(O6:P6)</x:f>
        <x:v>1</x:v>
      </x:c>
      <x:c r="Y6" s="4" t="n">
        <x:f t="shared" si="3">SUM(Q6:R6)</x:f>
        <x:v>2</x:v>
      </x:c>
      <x:c r="Z6" s="4" t="n">
        <x:f t="shared" si="4">SUM(S6:T6)</x:f>
        <x:v>2</x:v>
      </x:c>
      <x:c r="AA6" s="4" t="n">
        <x:f t="shared" si="5">SUM(U6:V6)</x:f>
        <x:v>0</x:v>
      </x:c>
      <x:c r="AB6" s="7">
        <x:v>5</x:v>
      </x:c>
      <x:c r="AC6" s="7">
        <x:v>4</x:v>
      </x:c>
      <x:c r="AD6" s="7">
        <x:v>4</x:v>
      </x:c>
      <x:c r="AE6" s="7">
        <x:v>5</x:v>
      </x:c>
      <x:c r="AF6" s="7">
        <x:v>3</x:v>
      </x:c>
      <x:c r="AG6" s="7">
        <x:v>4</x:v>
      </x:c>
      <x:c r="AH6" s="7">
        <x:v>2</x:v>
      </x:c>
      <x:c r="AI6" s="7">
        <x:v>2</x:v>
      </x:c>
      <x:c r="AJ6" s="7">
        <x:v>4</x:v>
      </x:c>
      <x:c r="AK6" s="10" t="n">
        <x:f t="shared" si="6">AVERAGE(AB6:AI6)</x:f>
        <x:v>3.625</x:v>
      </x:c>
      <x:c r="AL6" s="10" t="n">
        <x:f t="shared" si="7">AVERAGE(AB6:AC6)</x:f>
        <x:v>4.5</x:v>
      </x:c>
      <x:c r="AM6" s="10" t="n">
        <x:f t="shared" si="8">AVERAGE(AD6:AE6)</x:f>
        <x:v>4.5</x:v>
      </x:c>
      <x:c r="AN6" s="10" t="n">
        <x:f t="shared" si="9">AVERAGE(AF6:AG6)</x:f>
        <x:v>3.5</x:v>
      </x:c>
      <x:c r="AO6" s="10" t="n">
        <x:f t="shared" si="10">AVERAGE(AH6:AI6)</x:f>
        <x:v>2</x:v>
      </x:c>
      <x:c r="AP6" s="8" t="s">
        <x:v>57</x:v>
      </x:c>
      <x:c r="AQ6" s="7">
        <x:v>1002</x:v>
      </x:c>
      <x:c r="AR6" s="5">
        <x:v>0.6</x:v>
      </x:c>
      <x:c r="AS6" t="s">
        <x:v>51</x:v>
      </x:c>
      <x:c r="AT6" t="n">
        <x:f>COUNTIF(G6:N6,1)</x:f>
        <x:v>5</x:v>
      </x:c>
      <x:c r="AU6" s="5" t="n">
        <x:f>AVERAGE(AB6:AI6)</x:f>
        <x:v>3.625</x:v>
      </x:c>
      <x:c r="AV6" s="5" t="n">
        <x:f>SUMIFS($AT$2:$AT$41,$B$2:$B$41,B6,$AS$2:$AS$41,"Einschluss")/COUNTIFS($B$2:$B$41,B6,$AS$2:$AS$41,"Einschluss")</x:f>
        <x:v>4.75</x:v>
      </x:c>
      <x:c r="AW6" s="5" t="n">
        <x:f t="shared" si="11">AT6-AV6</x:f>
        <x:v>0.25</x:v>
      </x:c>
    </x:row>
    <x:row r="7">
      <x:c r="A7" s="7">
        <x:v>226</x:v>
      </x:c>
      <x:c r="B7" s="8" t="s">
        <x:v>58</x:v>
      </x:c>
      <x:c r="C7" s="9">
        <x:v>46262.639444444001</x:v>
      </x:c>
      <x:c r="D7" s="7">
        <x:v>1</x:v>
      </x:c>
      <x:c r="E7" s="7">
        <x:v>1</x:v>
      </x:c>
      <x:c r="F7" s="8"/>
      <x:c r="G7" s="7">
        <x:v>1</x:v>
      </x:c>
      <x:c r="H7" s="7">
        <x:v>3</x:v>
      </x:c>
      <x:c r="I7" s="7">
        <x:v>4</x:v>
      </x:c>
      <x:c r="J7" s="7">
        <x:v>1</x:v>
      </x:c>
      <x:c r="K7" s="7">
        <x:v>1</x:v>
      </x:c>
      <x:c r="L7" s="7">
        <x:v>1</x:v>
      </x:c>
      <x:c r="M7" s="7">
        <x:v>1</x:v>
      </x:c>
      <x:c r="N7" s="7">
        <x:v>1</x:v>
      </x:c>
      <x:c r="O7" s="10" t="n">
        <x:f t="shared" si="0">IF(G7=1,1,0)</x:f>
        <x:v>1</x:v>
      </x:c>
      <x:c r="P7" s="10" t="n">
        <x:f t="shared" si="0">IF(H7=1,1,0)</x:f>
        <x:v>0</x:v>
      </x:c>
      <x:c r="Q7" s="10" t="n">
        <x:f t="shared" si="0">IF(I7=1,1,0)</x:f>
        <x:v>0</x:v>
      </x:c>
      <x:c r="R7" s="10" t="n">
        <x:f t="shared" si="0">IF(J7=1,1,0)</x:f>
        <x:v>1</x:v>
      </x:c>
      <x:c r="S7" s="10" t="n">
        <x:f t="shared" si="0">IF(K7=1,1,0)</x:f>
        <x:v>1</x:v>
      </x:c>
      <x:c r="T7" s="10" t="n">
        <x:f t="shared" si="0">IF(L7=1,1,0)</x:f>
        <x:v>1</x:v>
      </x:c>
      <x:c r="U7" s="10" t="n">
        <x:f t="shared" si="0">IF(M7=1,1,0)</x:f>
        <x:v>1</x:v>
      </x:c>
      <x:c r="V7" s="10" t="n">
        <x:f t="shared" si="0">IF(N7=1,1,0)</x:f>
        <x:v>1</x:v>
      </x:c>
      <x:c r="W7" s="11" t="n">
        <x:f t="shared" si="1">SUM(O7:V7)</x:f>
        <x:v>6</x:v>
      </x:c>
      <x:c r="X7" s="4" t="n">
        <x:f t="shared" si="2">SUM(O7:P7)</x:f>
        <x:v>1</x:v>
      </x:c>
      <x:c r="Y7" s="4" t="n">
        <x:f t="shared" si="3">SUM(Q7:R7)</x:f>
        <x:v>1</x:v>
      </x:c>
      <x:c r="Z7" s="4" t="n">
        <x:f t="shared" si="4">SUM(S7:T7)</x:f>
        <x:v>2</x:v>
      </x:c>
      <x:c r="AA7" s="4" t="n">
        <x:f t="shared" si="5">SUM(U7:V7)</x:f>
        <x:v>2</x:v>
      </x:c>
      <x:c r="AB7" s="7">
        <x:v>5</x:v>
      </x:c>
      <x:c r="AC7" s="7">
        <x:v>4</x:v>
      </x:c>
      <x:c r="AD7" s="7">
        <x:v>5</x:v>
      </x:c>
      <x:c r="AE7" s="7">
        <x:v>5</x:v>
      </x:c>
      <x:c r="AF7" s="7">
        <x:v>5</x:v>
      </x:c>
      <x:c r="AG7" s="7">
        <x:v>4</x:v>
      </x:c>
      <x:c r="AH7" s="7">
        <x:v>3</x:v>
      </x:c>
      <x:c r="AI7" s="7">
        <x:v>2</x:v>
      </x:c>
      <x:c r="AJ7" s="7">
        <x:v>4</x:v>
      </x:c>
      <x:c r="AK7" s="10" t="n">
        <x:f t="shared" si="6">AVERAGE(AB7:AI7)</x:f>
        <x:v>4.125</x:v>
      </x:c>
      <x:c r="AL7" s="10" t="n">
        <x:f t="shared" si="7">AVERAGE(AB7:AC7)</x:f>
        <x:v>4.5</x:v>
      </x:c>
      <x:c r="AM7" s="10" t="n">
        <x:f t="shared" si="8">AVERAGE(AD7:AE7)</x:f>
        <x:v>5</x:v>
      </x:c>
      <x:c r="AN7" s="10" t="n">
        <x:f t="shared" si="9">AVERAGE(AF7:AG7)</x:f>
        <x:v>4.5</x:v>
      </x:c>
      <x:c r="AO7" s="10" t="n">
        <x:f t="shared" si="10">AVERAGE(AH7:AI7)</x:f>
        <x:v>2.5</x:v>
      </x:c>
      <x:c r="AP7" s="8"/>
      <x:c r="AQ7" s="7">
        <x:v>583</x:v>
      </x:c>
      <x:c r="AR7" s="5">
        <x:v>1.31</x:v>
      </x:c>
      <x:c r="AS7" t="s">
        <x:v>51</x:v>
      </x:c>
      <x:c r="AT7" t="n">
        <x:f>COUNTIF(G7:N7,1)</x:f>
        <x:v>6</x:v>
      </x:c>
      <x:c r="AU7" s="5" t="n">
        <x:f>AVERAGE(AB7:AI7)</x:f>
        <x:v>4.125</x:v>
      </x:c>
      <x:c r="AV7" s="5" t="n">
        <x:f>SUMIFS($AT$2:$AT$41,$B$2:$B$41,B7,$AS$2:$AS$41,"Einschluss")/COUNTIFS($B$2:$B$41,B7,$AS$2:$AS$41,"Einschluss")</x:f>
        <x:v>4</x:v>
      </x:c>
      <x:c r="AW7" s="5" t="n">
        <x:f t="shared" si="11">AT7-AV7</x:f>
        <x:v>2</x:v>
      </x:c>
    </x:row>
    <x:row r="8">
      <x:c r="A8" s="7">
        <x:v>227</x:v>
      </x:c>
      <x:c r="B8" s="8" t="s">
        <x:v>58</x:v>
      </x:c>
      <x:c r="C8" s="9">
        <x:v>46262.641400462999</x:v>
      </x:c>
      <x:c r="D8" s="7">
        <x:v>1</x:v>
      </x:c>
      <x:c r="E8" s="7">
        <x:v>1</x:v>
      </x:c>
      <x:c r="F8" s="8"/>
      <x:c r="G8" s="7">
        <x:v>1</x:v>
      </x:c>
      <x:c r="H8" s="7">
        <x:v>2</x:v>
      </x:c>
      <x:c r="I8" s="7">
        <x:v>3</x:v>
      </x:c>
      <x:c r="J8" s="7">
        <x:v>1</x:v>
      </x:c>
      <x:c r="K8" s="7">
        <x:v>4</x:v>
      </x:c>
      <x:c r="L8" s="7">
        <x:v>4</x:v>
      </x:c>
      <x:c r="M8" s="7">
        <x:v>1</x:v>
      </x:c>
      <x:c r="N8" s="7">
        <x:v>3</x:v>
      </x:c>
      <x:c r="O8" s="10" t="n">
        <x:f t="shared" si="0">IF(G8=1,1,0)</x:f>
        <x:v>1</x:v>
      </x:c>
      <x:c r="P8" s="10" t="n">
        <x:f t="shared" si="0">IF(H8=1,1,0)</x:f>
        <x:v>0</x:v>
      </x:c>
      <x:c r="Q8" s="10" t="n">
        <x:f t="shared" si="0">IF(I8=1,1,0)</x:f>
        <x:v>0</x:v>
      </x:c>
      <x:c r="R8" s="10" t="n">
        <x:f t="shared" si="0">IF(J8=1,1,0)</x:f>
        <x:v>1</x:v>
      </x:c>
      <x:c r="S8" s="10" t="n">
        <x:f t="shared" si="0">IF(K8=1,1,0)</x:f>
        <x:v>0</x:v>
      </x:c>
      <x:c r="T8" s="10" t="n">
        <x:f t="shared" si="0">IF(L8=1,1,0)</x:f>
        <x:v>0</x:v>
      </x:c>
      <x:c r="U8" s="10" t="n">
        <x:f t="shared" si="0">IF(M8=1,1,0)</x:f>
        <x:v>1</x:v>
      </x:c>
      <x:c r="V8" s="10" t="n">
        <x:f t="shared" si="0">IF(N8=1,1,0)</x:f>
        <x:v>0</x:v>
      </x:c>
      <x:c r="W8" s="11" t="n">
        <x:f t="shared" si="1">SUM(O8:V8)</x:f>
        <x:v>3</x:v>
      </x:c>
      <x:c r="X8" s="4" t="n">
        <x:f t="shared" si="2">SUM(O8:P8)</x:f>
        <x:v>1</x:v>
      </x:c>
      <x:c r="Y8" s="4" t="n">
        <x:f t="shared" si="3">SUM(Q8:R8)</x:f>
        <x:v>1</x:v>
      </x:c>
      <x:c r="Z8" s="4" t="n">
        <x:f t="shared" si="4">SUM(S8:T8)</x:f>
        <x:v>0</x:v>
      </x:c>
      <x:c r="AA8" s="4" t="n">
        <x:f t="shared" si="5">SUM(U8:V8)</x:f>
        <x:v>1</x:v>
      </x:c>
      <x:c r="AB8" s="7">
        <x:v>2</x:v>
      </x:c>
      <x:c r="AC8" s="7">
        <x:v>2</x:v>
      </x:c>
      <x:c r="AD8" s="7">
        <x:v>2</x:v>
      </x:c>
      <x:c r="AE8" s="7">
        <x:v>2</x:v>
      </x:c>
      <x:c r="AF8" s="7">
        <x:v>4</x:v>
      </x:c>
      <x:c r="AG8" s="7">
        <x:v>2</x:v>
      </x:c>
      <x:c r="AH8" s="7">
        <x:v>2</x:v>
      </x:c>
      <x:c r="AI8" s="7">
        <x:v>4</x:v>
      </x:c>
      <x:c r="AJ8" s="7">
        <x:v>2</x:v>
      </x:c>
      <x:c r="AK8" s="10" t="n">
        <x:f t="shared" si="6">AVERAGE(AB8:AI8)</x:f>
        <x:v>2.5</x:v>
      </x:c>
      <x:c r="AL8" s="10" t="n">
        <x:f t="shared" si="7">AVERAGE(AB8:AC8)</x:f>
        <x:v>2</x:v>
      </x:c>
      <x:c r="AM8" s="10" t="n">
        <x:f t="shared" si="8">AVERAGE(AD8:AE8)</x:f>
        <x:v>2</x:v>
      </x:c>
      <x:c r="AN8" s="10" t="n">
        <x:f t="shared" si="9">AVERAGE(AF8:AG8)</x:f>
        <x:v>3</x:v>
      </x:c>
      <x:c r="AO8" s="10" t="n">
        <x:f t="shared" si="10">AVERAGE(AH8:AI8)</x:f>
        <x:v>3</x:v>
      </x:c>
      <x:c r="AP8" s="8"/>
      <x:c r="AQ8" s="7">
        <x:v>435</x:v>
      </x:c>
      <x:c r="AR8" s="5">
        <x:v>1.78</x:v>
      </x:c>
      <x:c r="AS8" t="s">
        <x:v>51</x:v>
      </x:c>
      <x:c r="AT8" t="n">
        <x:f>COUNTIF(G8:N8,1)</x:f>
        <x:v>3</x:v>
      </x:c>
      <x:c r="AU8" s="5" t="n">
        <x:f>AVERAGE(AB8:AI8)</x:f>
        <x:v>2.5</x:v>
      </x:c>
      <x:c r="AV8" s="5" t="n">
        <x:f>SUMIFS($AT$2:$AT$41,$B$2:$B$41,B8,$AS$2:$AS$41,"Einschluss")/COUNTIFS($B$2:$B$41,B8,$AS$2:$AS$41,"Einschluss")</x:f>
        <x:v>4</x:v>
      </x:c>
      <x:c r="AW8" s="5" t="n">
        <x:f t="shared" si="11">AT8-AV8</x:f>
        <x:v>-1</x:v>
      </x:c>
    </x:row>
    <x:row r="9">
      <x:c r="A9" s="7">
        <x:v>228</x:v>
      </x:c>
      <x:c r="B9" s="8" t="s">
        <x:v>58</x:v>
      </x:c>
      <x:c r="C9" s="9">
        <x:v>46262.660289352003</x:v>
      </x:c>
      <x:c r="D9" s="7">
        <x:v>1</x:v>
      </x:c>
      <x:c r="E9" s="7">
        <x:v>2</x:v>
      </x:c>
      <x:c r="F9" s="8" t="s">
        <x:v>59</x:v>
      </x:c>
      <x:c r="G9" s="7">
        <x:v>1</x:v>
      </x:c>
      <x:c r="H9" s="7">
        <x:v>1</x:v>
      </x:c>
      <x:c r="I9" s="7">
        <x:v>4</x:v>
      </x:c>
      <x:c r="J9" s="7">
        <x:v>4</x:v>
      </x:c>
      <x:c r="K9" s="7">
        <x:v>4</x:v>
      </x:c>
      <x:c r="L9" s="7">
        <x:v>1</x:v>
      </x:c>
      <x:c r="M9" s="7">
        <x:v>3</x:v>
      </x:c>
      <x:c r="N9" s="7">
        <x:v>1</x:v>
      </x:c>
      <x:c r="O9" s="10" t="n">
        <x:f t="shared" si="0">IF(G9=1,1,0)</x:f>
        <x:v>1</x:v>
      </x:c>
      <x:c r="P9" s="10" t="n">
        <x:f t="shared" si="0">IF(H9=1,1,0)</x:f>
        <x:v>1</x:v>
      </x:c>
      <x:c r="Q9" s="10" t="n">
        <x:f t="shared" si="0">IF(I9=1,1,0)</x:f>
        <x:v>0</x:v>
      </x:c>
      <x:c r="R9" s="10" t="n">
        <x:f t="shared" si="0">IF(J9=1,1,0)</x:f>
        <x:v>0</x:v>
      </x:c>
      <x:c r="S9" s="10" t="n">
        <x:f t="shared" si="0">IF(K9=1,1,0)</x:f>
        <x:v>0</x:v>
      </x:c>
      <x:c r="T9" s="10" t="n">
        <x:f t="shared" si="0">IF(L9=1,1,0)</x:f>
        <x:v>1</x:v>
      </x:c>
      <x:c r="U9" s="10" t="n">
        <x:f t="shared" si="0">IF(M9=1,1,0)</x:f>
        <x:v>0</x:v>
      </x:c>
      <x:c r="V9" s="10" t="n">
        <x:f t="shared" si="0">IF(N9=1,1,0)</x:f>
        <x:v>1</x:v>
      </x:c>
      <x:c r="W9" s="11" t="n">
        <x:f t="shared" si="1">SUM(O9:V9)</x:f>
        <x:v>4</x:v>
      </x:c>
      <x:c r="X9" s="4" t="n">
        <x:f t="shared" si="2">SUM(O9:P9)</x:f>
        <x:v>2</x:v>
      </x:c>
      <x:c r="Y9" s="4" t="n">
        <x:f t="shared" si="3">SUM(Q9:R9)</x:f>
        <x:v>0</x:v>
      </x:c>
      <x:c r="Z9" s="4" t="n">
        <x:f t="shared" si="4">SUM(S9:T9)</x:f>
        <x:v>1</x:v>
      </x:c>
      <x:c r="AA9" s="4" t="n">
        <x:f t="shared" si="5">SUM(U9:V9)</x:f>
        <x:v>1</x:v>
      </x:c>
      <x:c r="AB9" s="7">
        <x:v>5</x:v>
      </x:c>
      <x:c r="AC9" s="7">
        <x:v>4</x:v>
      </x:c>
      <x:c r="AD9" s="7">
        <x:v>4</x:v>
      </x:c>
      <x:c r="AE9" s="7">
        <x:v>2</x:v>
      </x:c>
      <x:c r="AF9" s="7">
        <x:v>5</x:v>
      </x:c>
      <x:c r="AG9" s="7">
        <x:v>5</x:v>
      </x:c>
      <x:c r="AH9" s="7">
        <x:v>2</x:v>
      </x:c>
      <x:c r="AI9" s="7">
        <x:v>5</x:v>
      </x:c>
      <x:c r="AJ9" s="7">
        <x:v>5</x:v>
      </x:c>
      <x:c r="AK9" s="10" t="n">
        <x:f t="shared" si="6">AVERAGE(AB9:AI9)</x:f>
        <x:v>4</x:v>
      </x:c>
      <x:c r="AL9" s="10" t="n">
        <x:f t="shared" si="7">AVERAGE(AB9:AC9)</x:f>
        <x:v>4.5</x:v>
      </x:c>
      <x:c r="AM9" s="10" t="n">
        <x:f t="shared" si="8">AVERAGE(AD9:AE9)</x:f>
        <x:v>3</x:v>
      </x:c>
      <x:c r="AN9" s="10" t="n">
        <x:f t="shared" si="9">AVERAGE(AF9:AG9)</x:f>
        <x:v>5</x:v>
      </x:c>
      <x:c r="AO9" s="10" t="n">
        <x:f t="shared" si="10">AVERAGE(AH9:AI9)</x:f>
        <x:v>3.5</x:v>
      </x:c>
      <x:c r="AP9" s="8" t="s">
        <x:v>60</x:v>
      </x:c>
      <x:c r="AQ9" s="7">
        <x:v>512</x:v>
      </x:c>
      <x:c r="AR9" s="5">
        <x:v>1.37</x:v>
      </x:c>
      <x:c r="AS9" t="s">
        <x:v>51</x:v>
      </x:c>
      <x:c r="AT9" t="n">
        <x:f>COUNTIF(G9:N9,1)</x:f>
        <x:v>4</x:v>
      </x:c>
      <x:c r="AU9" s="5" t="n">
        <x:f>AVERAGE(AB9:AI9)</x:f>
        <x:v>4</x:v>
      </x:c>
      <x:c r="AV9" s="5" t="n">
        <x:f>SUMIFS($AT$2:$AT$41,$B$2:$B$41,B9,$AS$2:$AS$41,"Einschluss")/COUNTIFS($B$2:$B$41,B9,$AS$2:$AS$41,"Einschluss")</x:f>
        <x:v>4</x:v>
      </x:c>
      <x:c r="AW9" s="5" t="n">
        <x:f t="shared" si="11">AT9-AV9</x:f>
        <x:v>0</x:v>
      </x:c>
    </x:row>
    <x:row r="10">
      <x:c r="A10" s="7">
        <x:v>229</x:v>
      </x:c>
      <x:c r="B10" s="8" t="s">
        <x:v>49</x:v>
      </x:c>
      <x:c r="C10" s="9">
        <x:v>46265.699918981001</x:v>
      </x:c>
      <x:c r="D10" s="7">
        <x:v>1</x:v>
      </x:c>
      <x:c r="E10" s="7">
        <x:v>1</x:v>
      </x:c>
      <x:c r="F10" s="8"/>
      <x:c r="G10" s="7">
        <x:v>1</x:v>
      </x:c>
      <x:c r="H10" s="7">
        <x:v>1</x:v>
      </x:c>
      <x:c r="I10" s="7">
        <x:v>1</x:v>
      </x:c>
      <x:c r="J10" s="7">
        <x:v>2</x:v>
      </x:c>
      <x:c r="K10" s="7">
        <x:v>4</x:v>
      </x:c>
      <x:c r="L10" s="7">
        <x:v>1</x:v>
      </x:c>
      <x:c r="M10" s="7">
        <x:v>3</x:v>
      </x:c>
      <x:c r="N10" s="7">
        <x:v>3</x:v>
      </x:c>
      <x:c r="O10" s="10" t="n">
        <x:f t="shared" si="0">IF(G10=1,1,0)</x:f>
        <x:v>1</x:v>
      </x:c>
      <x:c r="P10" s="10" t="n">
        <x:f t="shared" si="0">IF(H10=1,1,0)</x:f>
        <x:v>1</x:v>
      </x:c>
      <x:c r="Q10" s="10" t="n">
        <x:f t="shared" si="0">IF(I10=1,1,0)</x:f>
        <x:v>1</x:v>
      </x:c>
      <x:c r="R10" s="10" t="n">
        <x:f t="shared" si="0">IF(J10=1,1,0)</x:f>
        <x:v>0</x:v>
      </x:c>
      <x:c r="S10" s="10" t="n">
        <x:f t="shared" si="0">IF(K10=1,1,0)</x:f>
        <x:v>0</x:v>
      </x:c>
      <x:c r="T10" s="10" t="n">
        <x:f t="shared" si="0">IF(L10=1,1,0)</x:f>
        <x:v>1</x:v>
      </x:c>
      <x:c r="U10" s="10" t="n">
        <x:f t="shared" si="0">IF(M10=1,1,0)</x:f>
        <x:v>0</x:v>
      </x:c>
      <x:c r="V10" s="10" t="n">
        <x:f t="shared" si="0">IF(N10=1,1,0)</x:f>
        <x:v>0</x:v>
      </x:c>
      <x:c r="W10" s="11" t="n">
        <x:f t="shared" si="1">SUM(O10:V10)</x:f>
        <x:v>4</x:v>
      </x:c>
      <x:c r="X10" s="4" t="n">
        <x:f t="shared" si="2">SUM(O10:P10)</x:f>
        <x:v>2</x:v>
      </x:c>
      <x:c r="Y10" s="4" t="n">
        <x:f t="shared" si="3">SUM(Q10:R10)</x:f>
        <x:v>1</x:v>
      </x:c>
      <x:c r="Z10" s="4" t="n">
        <x:f t="shared" si="4">SUM(S10:T10)</x:f>
        <x:v>1</x:v>
      </x:c>
      <x:c r="AA10" s="4" t="n">
        <x:f t="shared" si="5">SUM(U10:V10)</x:f>
        <x:v>0</x:v>
      </x:c>
      <x:c r="AB10" s="7">
        <x:v>5</x:v>
      </x:c>
      <x:c r="AC10" s="7">
        <x:v>3</x:v>
      </x:c>
      <x:c r="AD10" s="7">
        <x:v>4</x:v>
      </x:c>
      <x:c r="AE10" s="7">
        <x:v>4</x:v>
      </x:c>
      <x:c r="AF10" s="7">
        <x:v>3</x:v>
      </x:c>
      <x:c r="AG10" s="7">
        <x:v>3</x:v>
      </x:c>
      <x:c r="AH10" s="7">
        <x:v>2</x:v>
      </x:c>
      <x:c r="AI10" s="7">
        <x:v>3</x:v>
      </x:c>
      <x:c r="AJ10" s="7">
        <x:v>2</x:v>
      </x:c>
      <x:c r="AK10" s="10" t="n">
        <x:f t="shared" si="6">AVERAGE(AB10:AI10)</x:f>
        <x:v>3.375</x:v>
      </x:c>
      <x:c r="AL10" s="10" t="n">
        <x:f t="shared" si="7">AVERAGE(AB10:AC10)</x:f>
        <x:v>4</x:v>
      </x:c>
      <x:c r="AM10" s="10" t="n">
        <x:f t="shared" si="8">AVERAGE(AD10:AE10)</x:f>
        <x:v>4</x:v>
      </x:c>
      <x:c r="AN10" s="10" t="n">
        <x:f t="shared" si="9">AVERAGE(AF10:AG10)</x:f>
        <x:v>3</x:v>
      </x:c>
      <x:c r="AO10" s="10" t="n">
        <x:f t="shared" si="10">AVERAGE(AH10:AI10)</x:f>
        <x:v>2.5</x:v>
      </x:c>
      <x:c r="AP10" s="8"/>
      <x:c r="AQ10" s="7">
        <x:v>406</x:v>
      </x:c>
      <x:c r="AR10" s="5">
        <x:v>1.78</x:v>
      </x:c>
      <x:c r="AS10" t="s">
        <x:v>51</x:v>
      </x:c>
      <x:c r="AT10" t="n">
        <x:f>COUNTIF(G10:N10,1)</x:f>
        <x:v>4</x:v>
      </x:c>
      <x:c r="AU10" s="5" t="n">
        <x:f>AVERAGE(AB10:AI10)</x:f>
        <x:v>3.375</x:v>
      </x:c>
      <x:c r="AV10" s="5" t="n">
        <x:f>SUMIFS($AT$2:$AT$41,$B$2:$B$41,B10,$AS$2:$AS$41,"Einschluss")/COUNTIFS($B$2:$B$41,B10,$AS$2:$AS$41,"Einschluss")</x:f>
        <x:v>4.75</x:v>
      </x:c>
      <x:c r="AW10" s="5" t="n">
        <x:f t="shared" si="11">AT10-AV10</x:f>
        <x:v>-0.75</x:v>
      </x:c>
    </x:row>
    <x:row r="11">
      <x:c r="A11" s="7">
        <x:v>235</x:v>
      </x:c>
      <x:c r="B11" s="8" t="s">
        <x:v>58</x:v>
      </x:c>
      <x:c r="C11" s="9">
        <x:v>46266.405856480997</x:v>
      </x:c>
      <x:c r="D11" s="7">
        <x:v>1</x:v>
      </x:c>
      <x:c r="E11" s="7">
        <x:v>2</x:v>
      </x:c>
      <x:c r="F11" s="8"/>
      <x:c r="G11" s="7">
        <x:v>1</x:v>
      </x:c>
      <x:c r="H11" s="7">
        <x:v>2</x:v>
      </x:c>
      <x:c r="I11" s="7">
        <x:v>4</x:v>
      </x:c>
      <x:c r="J11" s="7">
        <x:v>4</x:v>
      </x:c>
      <x:c r="K11" s="7">
        <x:v>1</x:v>
      </x:c>
      <x:c r="L11" s="7">
        <x:v>1</x:v>
      </x:c>
      <x:c r="M11" s="7">
        <x:v>1</x:v>
      </x:c>
      <x:c r="N11" s="7">
        <x:v>4</x:v>
      </x:c>
      <x:c r="O11" s="10" t="n">
        <x:f t="shared" si="0">IF(G11=1,1,0)</x:f>
        <x:v>1</x:v>
      </x:c>
      <x:c r="P11" s="10" t="n">
        <x:f t="shared" si="0">IF(H11=1,1,0)</x:f>
        <x:v>0</x:v>
      </x:c>
      <x:c r="Q11" s="10" t="n">
        <x:f t="shared" si="0">IF(I11=1,1,0)</x:f>
        <x:v>0</x:v>
      </x:c>
      <x:c r="R11" s="10" t="n">
        <x:f t="shared" si="0">IF(J11=1,1,0)</x:f>
        <x:v>0</x:v>
      </x:c>
      <x:c r="S11" s="10" t="n">
        <x:f t="shared" si="0">IF(K11=1,1,0)</x:f>
        <x:v>1</x:v>
      </x:c>
      <x:c r="T11" s="10" t="n">
        <x:f t="shared" si="0">IF(L11=1,1,0)</x:f>
        <x:v>1</x:v>
      </x:c>
      <x:c r="U11" s="10" t="n">
        <x:f t="shared" si="0">IF(M11=1,1,0)</x:f>
        <x:v>1</x:v>
      </x:c>
      <x:c r="V11" s="10" t="n">
        <x:f t="shared" si="0">IF(N11=1,1,0)</x:f>
        <x:v>0</x:v>
      </x:c>
      <x:c r="W11" s="11" t="n">
        <x:f t="shared" si="1">SUM(O11:V11)</x:f>
        <x:v>4</x:v>
      </x:c>
      <x:c r="X11" s="4" t="n">
        <x:f t="shared" si="2">SUM(O11:P11)</x:f>
        <x:v>1</x:v>
      </x:c>
      <x:c r="Y11" s="4" t="n">
        <x:f t="shared" si="3">SUM(Q11:R11)</x:f>
        <x:v>0</x:v>
      </x:c>
      <x:c r="Z11" s="4" t="n">
        <x:f t="shared" si="4">SUM(S11:T11)</x:f>
        <x:v>2</x:v>
      </x:c>
      <x:c r="AA11" s="4" t="n">
        <x:f t="shared" si="5">SUM(U11:V11)</x:f>
        <x:v>1</x:v>
      </x:c>
      <x:c r="AB11" s="7">
        <x:v>3</x:v>
      </x:c>
      <x:c r="AC11" s="7">
        <x:v>2</x:v>
      </x:c>
      <x:c r="AD11" s="7">
        <x:v>3</x:v>
      </x:c>
      <x:c r="AE11" s="7">
        <x:v>3</x:v>
      </x:c>
      <x:c r="AF11" s="7">
        <x:v>5</x:v>
      </x:c>
      <x:c r="AG11" s="7">
        <x:v>4</x:v>
      </x:c>
      <x:c r="AH11" s="7">
        <x:v>4</x:v>
      </x:c>
      <x:c r="AI11" s="7">
        <x:v>4</x:v>
      </x:c>
      <x:c r="AJ11" s="7">
        <x:v>3</x:v>
      </x:c>
      <x:c r="AK11" s="10" t="n">
        <x:f t="shared" si="6">AVERAGE(AB11:AI11)</x:f>
        <x:v>3.5</x:v>
      </x:c>
      <x:c r="AL11" s="10" t="n">
        <x:f t="shared" si="7">AVERAGE(AB11:AC11)</x:f>
        <x:v>2.5</x:v>
      </x:c>
      <x:c r="AM11" s="10" t="n">
        <x:f t="shared" si="8">AVERAGE(AD11:AE11)</x:f>
        <x:v>3</x:v>
      </x:c>
      <x:c r="AN11" s="10" t="n">
        <x:f t="shared" si="9">AVERAGE(AF11:AG11)</x:f>
        <x:v>4.5</x:v>
      </x:c>
      <x:c r="AO11" s="10" t="n">
        <x:f t="shared" si="10">AVERAGE(AH11:AI11)</x:f>
        <x:v>4</x:v>
      </x:c>
      <x:c r="AP11" s="8"/>
      <x:c r="AQ11" s="7">
        <x:v>756</x:v>
      </x:c>
      <x:c r="AR11" s="5">
        <x:v>0.91</x:v>
      </x:c>
      <x:c r="AS11" t="s">
        <x:v>51</x:v>
      </x:c>
      <x:c r="AT11" t="n">
        <x:f>COUNTIF(G11:N11,1)</x:f>
        <x:v>4</x:v>
      </x:c>
      <x:c r="AU11" s="5" t="n">
        <x:f>AVERAGE(AB11:AI11)</x:f>
        <x:v>3.5</x:v>
      </x:c>
      <x:c r="AV11" s="5" t="n">
        <x:f>SUMIFS($AT$2:$AT$41,$B$2:$B$41,B11,$AS$2:$AS$41,"Einschluss")/COUNTIFS($B$2:$B$41,B11,$AS$2:$AS$41,"Einschluss")</x:f>
        <x:v>4</x:v>
      </x:c>
      <x:c r="AW11" s="5" t="n">
        <x:f t="shared" si="11">AT11-AV11</x:f>
        <x:v>0</x:v>
      </x:c>
    </x:row>
    <x:row r="12">
      <x:c r="A12" s="7">
        <x:v>238</x:v>
      </x:c>
      <x:c r="B12" s="8" t="s">
        <x:v>58</x:v>
      </x:c>
      <x:c r="C12" s="9">
        <x:v>46267.769988426</x:v>
      </x:c>
      <x:c r="D12" s="7">
        <x:v>1</x:v>
      </x:c>
      <x:c r="E12" s="7">
        <x:v>1</x:v>
      </x:c>
      <x:c r="F12" s="8" t="s">
        <x:v>61</x:v>
      </x:c>
      <x:c r="G12" s="7">
        <x:v>3</x:v>
      </x:c>
      <x:c r="H12" s="7">
        <x:v>3</x:v>
      </x:c>
      <x:c r="I12" s="7">
        <x:v>4</x:v>
      </x:c>
      <x:c r="J12" s="7">
        <x:v>1</x:v>
      </x:c>
      <x:c r="K12" s="7">
        <x:v>4</x:v>
      </x:c>
      <x:c r="L12" s="7">
        <x:v>1</x:v>
      </x:c>
      <x:c r="M12" s="7">
        <x:v>4</x:v>
      </x:c>
      <x:c r="N12" s="7">
        <x:v>1</x:v>
      </x:c>
      <x:c r="O12" s="10" t="n">
        <x:f t="shared" si="0">IF(G12=1,1,0)</x:f>
        <x:v>0</x:v>
      </x:c>
      <x:c r="P12" s="10" t="n">
        <x:f t="shared" si="0">IF(H12=1,1,0)</x:f>
        <x:v>0</x:v>
      </x:c>
      <x:c r="Q12" s="10" t="n">
        <x:f t="shared" si="0">IF(I12=1,1,0)</x:f>
        <x:v>0</x:v>
      </x:c>
      <x:c r="R12" s="10" t="n">
        <x:f t="shared" si="0">IF(J12=1,1,0)</x:f>
        <x:v>1</x:v>
      </x:c>
      <x:c r="S12" s="10" t="n">
        <x:f t="shared" si="0">IF(K12=1,1,0)</x:f>
        <x:v>0</x:v>
      </x:c>
      <x:c r="T12" s="10" t="n">
        <x:f t="shared" si="0">IF(L12=1,1,0)</x:f>
        <x:v>1</x:v>
      </x:c>
      <x:c r="U12" s="10" t="n">
        <x:f t="shared" si="0">IF(M12=1,1,0)</x:f>
        <x:v>0</x:v>
      </x:c>
      <x:c r="V12" s="10" t="n">
        <x:f t="shared" si="0">IF(N12=1,1,0)</x:f>
        <x:v>1</x:v>
      </x:c>
      <x:c r="W12" s="11" t="n">
        <x:f t="shared" si="1">SUM(O12:V12)</x:f>
        <x:v>3</x:v>
      </x:c>
      <x:c r="X12" s="4" t="n">
        <x:f t="shared" si="2">SUM(O12:P12)</x:f>
        <x:v>0</x:v>
      </x:c>
      <x:c r="Y12" s="4" t="n">
        <x:f t="shared" si="3">SUM(Q12:R12)</x:f>
        <x:v>1</x:v>
      </x:c>
      <x:c r="Z12" s="4" t="n">
        <x:f t="shared" si="4">SUM(S12:T12)</x:f>
        <x:v>1</x:v>
      </x:c>
      <x:c r="AA12" s="4" t="n">
        <x:f t="shared" si="5">SUM(U12:V12)</x:f>
        <x:v>1</x:v>
      </x:c>
      <x:c r="AB12" s="7">
        <x:v>4</x:v>
      </x:c>
      <x:c r="AC12" s="7">
        <x:v>4</x:v>
      </x:c>
      <x:c r="AD12" s="7">
        <x:v>5</x:v>
      </x:c>
      <x:c r="AE12" s="7">
        <x:v>5</x:v>
      </x:c>
      <x:c r="AF12" s="7">
        <x:v>5</x:v>
      </x:c>
      <x:c r="AG12" s="7">
        <x:v>5</x:v>
      </x:c>
      <x:c r="AH12" s="7">
        <x:v>3</x:v>
      </x:c>
      <x:c r="AI12" s="7">
        <x:v>5</x:v>
      </x:c>
      <x:c r="AJ12" s="7">
        <x:v>5</x:v>
      </x:c>
      <x:c r="AK12" s="10" t="n">
        <x:f t="shared" si="6">AVERAGE(AB12:AI12)</x:f>
        <x:v>4.5</x:v>
      </x:c>
      <x:c r="AL12" s="10" t="n">
        <x:f t="shared" si="7">AVERAGE(AB12:AC12)</x:f>
        <x:v>4</x:v>
      </x:c>
      <x:c r="AM12" s="10" t="n">
        <x:f t="shared" si="8">AVERAGE(AD12:AE12)</x:f>
        <x:v>5</x:v>
      </x:c>
      <x:c r="AN12" s="10" t="n">
        <x:f t="shared" si="9">AVERAGE(AF12:AG12)</x:f>
        <x:v>5</x:v>
      </x:c>
      <x:c r="AO12" s="10" t="n">
        <x:f t="shared" si="10">AVERAGE(AH12:AI12)</x:f>
        <x:v>4</x:v>
      </x:c>
      <x:c r="AP12" s="8" t="s">
        <x:v>62</x:v>
      </x:c>
      <x:c r="AQ12" s="7">
        <x:v>607</x:v>
      </x:c>
      <x:c r="AR12" s="5">
        <x:v>1.25</x:v>
      </x:c>
      <x:c r="AS12" t="s">
        <x:v>51</x:v>
      </x:c>
      <x:c r="AT12" t="n">
        <x:f>COUNTIF(G12:N12,1)</x:f>
        <x:v>3</x:v>
      </x:c>
      <x:c r="AU12" s="5" t="n">
        <x:f>AVERAGE(AB12:AI12)</x:f>
        <x:v>4.5</x:v>
      </x:c>
      <x:c r="AV12" s="5" t="n">
        <x:f>SUMIFS($AT$2:$AT$41,$B$2:$B$41,B12,$AS$2:$AS$41,"Einschluss")/COUNTIFS($B$2:$B$41,B12,$AS$2:$AS$41,"Einschluss")</x:f>
        <x:v>4</x:v>
      </x:c>
      <x:c r="AW12" s="5" t="n">
        <x:f t="shared" si="11">AT12-AV12</x:f>
        <x:v>-1</x:v>
      </x:c>
    </x:row>
    <x:row r="13">
      <x:c r="A13" s="7">
        <x:v>245</x:v>
      </x:c>
      <x:c r="B13" s="8" t="s">
        <x:v>58</x:v>
      </x:c>
      <x:c r="C13" s="9">
        <x:v>46268.585393519003</x:v>
      </x:c>
      <x:c r="D13" s="7">
        <x:v>1</x:v>
      </x:c>
      <x:c r="E13" s="7">
        <x:v>1</x:v>
      </x:c>
      <x:c r="F13" s="8"/>
      <x:c r="G13" s="7">
        <x:v>1</x:v>
      </x:c>
      <x:c r="H13" s="7">
        <x:v>1</x:v>
      </x:c>
      <x:c r="I13" s="7">
        <x:v>1</x:v>
      </x:c>
      <x:c r="J13" s="7">
        <x:v>1</x:v>
      </x:c>
      <x:c r="K13" s="7">
        <x:v>1</x:v>
      </x:c>
      <x:c r="L13" s="7">
        <x:v>1</x:v>
      </x:c>
      <x:c r="M13" s="7">
        <x:v>1</x:v>
      </x:c>
      <x:c r="N13" s="7">
        <x:v>1</x:v>
      </x:c>
      <x:c r="O13" s="10" t="n">
        <x:f t="shared" si="0">IF(G13=1,1,0)</x:f>
        <x:v>1</x:v>
      </x:c>
      <x:c r="P13" s="10" t="n">
        <x:f t="shared" si="0">IF(H13=1,1,0)</x:f>
        <x:v>1</x:v>
      </x:c>
      <x:c r="Q13" s="10" t="n">
        <x:f t="shared" si="0">IF(I13=1,1,0)</x:f>
        <x:v>1</x:v>
      </x:c>
      <x:c r="R13" s="10" t="n">
        <x:f t="shared" si="0">IF(J13=1,1,0)</x:f>
        <x:v>1</x:v>
      </x:c>
      <x:c r="S13" s="10" t="n">
        <x:f t="shared" si="0">IF(K13=1,1,0)</x:f>
        <x:v>1</x:v>
      </x:c>
      <x:c r="T13" s="10" t="n">
        <x:f t="shared" si="0">IF(L13=1,1,0)</x:f>
        <x:v>1</x:v>
      </x:c>
      <x:c r="U13" s="10" t="n">
        <x:f t="shared" si="0">IF(M13=1,1,0)</x:f>
        <x:v>1</x:v>
      </x:c>
      <x:c r="V13" s="10" t="n">
        <x:f t="shared" si="0">IF(N13=1,1,0)</x:f>
        <x:v>1</x:v>
      </x:c>
      <x:c r="W13" s="11" t="n">
        <x:f t="shared" si="1">SUM(O13:V13)</x:f>
        <x:v>8</x:v>
      </x:c>
      <x:c r="X13" s="4" t="n">
        <x:f t="shared" si="2">SUM(O13:P13)</x:f>
        <x:v>2</x:v>
      </x:c>
      <x:c r="Y13" s="4" t="n">
        <x:f t="shared" si="3">SUM(Q13:R13)</x:f>
        <x:v>2</x:v>
      </x:c>
      <x:c r="Z13" s="4" t="n">
        <x:f t="shared" si="4">SUM(S13:T13)</x:f>
        <x:v>2</x:v>
      </x:c>
      <x:c r="AA13" s="4" t="n">
        <x:f t="shared" si="5">SUM(U13:V13)</x:f>
        <x:v>2</x:v>
      </x:c>
      <x:c r="AB13" s="7">
        <x:v>4</x:v>
      </x:c>
      <x:c r="AC13" s="7">
        <x:v>4</x:v>
      </x:c>
      <x:c r="AD13" s="7">
        <x:v>4</x:v>
      </x:c>
      <x:c r="AE13" s="7">
        <x:v>3</x:v>
      </x:c>
      <x:c r="AF13" s="7">
        <x:v>5</x:v>
      </x:c>
      <x:c r="AG13" s="7">
        <x:v>4</x:v>
      </x:c>
      <x:c r="AH13" s="7">
        <x:v>5</x:v>
      </x:c>
      <x:c r="AI13" s="7">
        <x:v>2</x:v>
      </x:c>
      <x:c r="AJ13" s="7">
        <x:v>4</x:v>
      </x:c>
      <x:c r="AK13" s="10" t="n">
        <x:f t="shared" si="6">AVERAGE(AB13:AI13)</x:f>
        <x:v>3.875</x:v>
      </x:c>
      <x:c r="AL13" s="10" t="n">
        <x:f t="shared" si="7">AVERAGE(AB13:AC13)</x:f>
        <x:v>4</x:v>
      </x:c>
      <x:c r="AM13" s="10" t="n">
        <x:f t="shared" si="8">AVERAGE(AD13:AE13)</x:f>
        <x:v>3.5</x:v>
      </x:c>
      <x:c r="AN13" s="10" t="n">
        <x:f t="shared" si="9">AVERAGE(AF13:AG13)</x:f>
        <x:v>4.5</x:v>
      </x:c>
      <x:c r="AO13" s="10" t="n">
        <x:f t="shared" si="10">AVERAGE(AH13:AI13)</x:f>
        <x:v>3.5</x:v>
      </x:c>
      <x:c r="AP13" s="8" t="s">
        <x:v>63</x:v>
      </x:c>
      <x:c r="AQ13" s="7">
        <x:v>793</x:v>
      </x:c>
      <x:c r="AR13" s="5">
        <x:v>1.1000000000000001</x:v>
      </x:c>
      <x:c r="AS13" t="s">
        <x:v>51</x:v>
      </x:c>
      <x:c r="AT13" t="n">
        <x:f>COUNTIF(G13:N13,1)</x:f>
        <x:v>8</x:v>
      </x:c>
      <x:c r="AU13" s="5" t="n">
        <x:f>AVERAGE(AB13:AI13)</x:f>
        <x:v>3.875</x:v>
      </x:c>
      <x:c r="AV13" s="5" t="n">
        <x:f>SUMIFS($AT$2:$AT$41,$B$2:$B$41,B13,$AS$2:$AS$41,"Einschluss")/COUNTIFS($B$2:$B$41,B13,$AS$2:$AS$41,"Einschluss")</x:f>
        <x:v>4</x:v>
      </x:c>
      <x:c r="AW13" s="5" t="n">
        <x:f t="shared" si="11">AT13-AV13</x:f>
        <x:v>4</x:v>
      </x:c>
    </x:row>
    <x:row r="14">
      <x:c r="A14" s="7">
        <x:v>246</x:v>
      </x:c>
      <x:c r="B14" s="8" t="s">
        <x:v>64</x:v>
      </x:c>
      <x:c r="C14" s="9">
        <x:v>46268.609513889001</x:v>
      </x:c>
      <x:c r="D14" s="7">
        <x:v>1</x:v>
      </x:c>
      <x:c r="E14" s="7">
        <x:v>1</x:v>
      </x:c>
      <x:c r="F14" s="8" t="s">
        <x:v>65</x:v>
      </x:c>
      <x:c r="G14" s="7">
        <x:v>1</x:v>
      </x:c>
      <x:c r="H14" s="7">
        <x:v>1</x:v>
      </x:c>
      <x:c r="I14" s="7">
        <x:v>1</x:v>
      </x:c>
      <x:c r="J14" s="7">
        <x:v>1</x:v>
      </x:c>
      <x:c r="K14" s="7">
        <x:v>1</x:v>
      </x:c>
      <x:c r="L14" s="7">
        <x:v>1</x:v>
      </x:c>
      <x:c r="M14" s="7">
        <x:v>1</x:v>
      </x:c>
      <x:c r="N14" s="7">
        <x:v>1</x:v>
      </x:c>
      <x:c r="O14" s="10" t="n">
        <x:f t="shared" si="0">IF(G14=1,1,0)</x:f>
        <x:v>1</x:v>
      </x:c>
      <x:c r="P14" s="10" t="n">
        <x:f t="shared" si="0">IF(H14=1,1,0)</x:f>
        <x:v>1</x:v>
      </x:c>
      <x:c r="Q14" s="10" t="n">
        <x:f t="shared" si="0">IF(I14=1,1,0)</x:f>
        <x:v>1</x:v>
      </x:c>
      <x:c r="R14" s="10" t="n">
        <x:f t="shared" si="0">IF(J14=1,1,0)</x:f>
        <x:v>1</x:v>
      </x:c>
      <x:c r="S14" s="10" t="n">
        <x:f t="shared" si="0">IF(K14=1,1,0)</x:f>
        <x:v>1</x:v>
      </x:c>
      <x:c r="T14" s="10" t="n">
        <x:f t="shared" si="0">IF(L14=1,1,0)</x:f>
        <x:v>1</x:v>
      </x:c>
      <x:c r="U14" s="10" t="n">
        <x:f t="shared" si="0">IF(M14=1,1,0)</x:f>
        <x:v>1</x:v>
      </x:c>
      <x:c r="V14" s="10" t="n">
        <x:f t="shared" si="0">IF(N14=1,1,0)</x:f>
        <x:v>1</x:v>
      </x:c>
      <x:c r="W14" s="11" t="n">
        <x:f t="shared" si="1">SUM(O14:V14)</x:f>
        <x:v>8</x:v>
      </x:c>
      <x:c r="X14" s="4" t="n">
        <x:f t="shared" si="2">SUM(O14:P14)</x:f>
        <x:v>2</x:v>
      </x:c>
      <x:c r="Y14" s="4" t="n">
        <x:f t="shared" si="3">SUM(Q14:R14)</x:f>
        <x:v>2</x:v>
      </x:c>
      <x:c r="Z14" s="4" t="n">
        <x:f t="shared" si="4">SUM(S14:T14)</x:f>
        <x:v>2</x:v>
      </x:c>
      <x:c r="AA14" s="4" t="n">
        <x:f t="shared" si="5">SUM(U14:V14)</x:f>
        <x:v>2</x:v>
      </x:c>
      <x:c r="AB14" s="7">
        <x:v>5</x:v>
      </x:c>
      <x:c r="AC14" s="7">
        <x:v>5</x:v>
      </x:c>
      <x:c r="AD14" s="7">
        <x:v>5</x:v>
      </x:c>
      <x:c r="AE14" s="7">
        <x:v>4</x:v>
      </x:c>
      <x:c r="AF14" s="7">
        <x:v>5</x:v>
      </x:c>
      <x:c r="AG14" s="7">
        <x:v>5</x:v>
      </x:c>
      <x:c r="AH14" s="7">
        <x:v>2</x:v>
      </x:c>
      <x:c r="AI14" s="7">
        <x:v>4</x:v>
      </x:c>
      <x:c r="AJ14" s="7">
        <x:v>5</x:v>
      </x:c>
      <x:c r="AK14" s="10" t="n">
        <x:f t="shared" si="6">AVERAGE(AB14:AI14)</x:f>
        <x:v>4.375</x:v>
      </x:c>
      <x:c r="AL14" s="10" t="n">
        <x:f t="shared" si="7">AVERAGE(AB14:AC14)</x:f>
        <x:v>5</x:v>
      </x:c>
      <x:c r="AM14" s="10" t="n">
        <x:f t="shared" si="8">AVERAGE(AD14:AE14)</x:f>
        <x:v>4.5</x:v>
      </x:c>
      <x:c r="AN14" s="10" t="n">
        <x:f t="shared" si="9">AVERAGE(AF14:AG14)</x:f>
        <x:v>5</x:v>
      </x:c>
      <x:c r="AO14" s="10" t="n">
        <x:f t="shared" si="10">AVERAGE(AH14:AI14)</x:f>
        <x:v>3</x:v>
      </x:c>
      <x:c r="AP14" s="8" t="s">
        <x:v>66</x:v>
      </x:c>
      <x:c r="AQ14" s="7">
        <x:v>673</x:v>
      </x:c>
      <x:c r="AR14" s="5">
        <x:v>1.05</x:v>
      </x:c>
      <x:c r="AS14" t="s">
        <x:v>51</x:v>
      </x:c>
      <x:c r="AT14" t="n">
        <x:f>COUNTIF(G14:N14,1)</x:f>
        <x:v>8</x:v>
      </x:c>
      <x:c r="AU14" s="5" t="n">
        <x:f>AVERAGE(AB14:AI14)</x:f>
        <x:v>4.375</x:v>
      </x:c>
      <x:c r="AV14" s="5" t="n">
        <x:f>SUMIFS($AT$2:$AT$41,$B$2:$B$41,B14,$AS$2:$AS$41,"Einschluss")/COUNTIFS($B$2:$B$41,B14,$AS$2:$AS$41,"Einschluss")</x:f>
        <x:v>5.833333333333333</x:v>
      </x:c>
      <x:c r="AW14" s="5" t="n">
        <x:f t="shared" si="11">AT14-AV14</x:f>
        <x:v>2.166666666666667</x:v>
      </x:c>
    </x:row>
    <x:row r="15">
      <x:c r="A15" s="7">
        <x:v>247</x:v>
      </x:c>
      <x:c r="B15" s="8" t="s">
        <x:v>64</x:v>
      </x:c>
      <x:c r="C15" s="9">
        <x:v>46268.609571759</x:v>
      </x:c>
      <x:c r="D15" s="7">
        <x:v>1</x:v>
      </x:c>
      <x:c r="E15" s="7">
        <x:v>1</x:v>
      </x:c>
      <x:c r="F15" s="8"/>
      <x:c r="G15" s="7">
        <x:v>1</x:v>
      </x:c>
      <x:c r="H15" s="7">
        <x:v>1</x:v>
      </x:c>
      <x:c r="I15" s="7">
        <x:v>1</x:v>
      </x:c>
      <x:c r="J15" s="7">
        <x:v>2</x:v>
      </x:c>
      <x:c r="K15" s="7">
        <x:v>1</x:v>
      </x:c>
      <x:c r="L15" s="7">
        <x:v>1</x:v>
      </x:c>
      <x:c r="M15" s="7">
        <x:v>1</x:v>
      </x:c>
      <x:c r="N15" s="7">
        <x:v>1</x:v>
      </x:c>
      <x:c r="O15" s="10" t="n">
        <x:f t="shared" si="0">IF(G15=1,1,0)</x:f>
        <x:v>1</x:v>
      </x:c>
      <x:c r="P15" s="10" t="n">
        <x:f t="shared" si="0">IF(H15=1,1,0)</x:f>
        <x:v>1</x:v>
      </x:c>
      <x:c r="Q15" s="10" t="n">
        <x:f t="shared" si="0">IF(I15=1,1,0)</x:f>
        <x:v>1</x:v>
      </x:c>
      <x:c r="R15" s="10" t="n">
        <x:f t="shared" si="0">IF(J15=1,1,0)</x:f>
        <x:v>0</x:v>
      </x:c>
      <x:c r="S15" s="10" t="n">
        <x:f t="shared" si="0">IF(K15=1,1,0)</x:f>
        <x:v>1</x:v>
      </x:c>
      <x:c r="T15" s="10" t="n">
        <x:f t="shared" si="0">IF(L15=1,1,0)</x:f>
        <x:v>1</x:v>
      </x:c>
      <x:c r="U15" s="10" t="n">
        <x:f t="shared" si="0">IF(M15=1,1,0)</x:f>
        <x:v>1</x:v>
      </x:c>
      <x:c r="V15" s="10" t="n">
        <x:f t="shared" si="0">IF(N15=1,1,0)</x:f>
        <x:v>1</x:v>
      </x:c>
      <x:c r="W15" s="11" t="n">
        <x:f t="shared" si="1">SUM(O15:V15)</x:f>
        <x:v>7</x:v>
      </x:c>
      <x:c r="X15" s="4" t="n">
        <x:f t="shared" si="2">SUM(O15:P15)</x:f>
        <x:v>2</x:v>
      </x:c>
      <x:c r="Y15" s="4" t="n">
        <x:f t="shared" si="3">SUM(Q15:R15)</x:f>
        <x:v>1</x:v>
      </x:c>
      <x:c r="Z15" s="4" t="n">
        <x:f t="shared" si="4">SUM(S15:T15)</x:f>
        <x:v>2</x:v>
      </x:c>
      <x:c r="AA15" s="4" t="n">
        <x:f t="shared" si="5">SUM(U15:V15)</x:f>
        <x:v>2</x:v>
      </x:c>
      <x:c r="AB15" s="7">
        <x:v>4</x:v>
      </x:c>
      <x:c r="AC15" s="7">
        <x:v>4</x:v>
      </x:c>
      <x:c r="AD15" s="7">
        <x:v>5</x:v>
      </x:c>
      <x:c r="AE15" s="7">
        <x:v>4</x:v>
      </x:c>
      <x:c r="AF15" s="7">
        <x:v>5</x:v>
      </x:c>
      <x:c r="AG15" s="7">
        <x:v>5</x:v>
      </x:c>
      <x:c r="AH15" s="7">
        <x:v>1</x:v>
      </x:c>
      <x:c r="AI15" s="7">
        <x:v>1</x:v>
      </x:c>
      <x:c r="AJ15" s="7">
        <x:v>4</x:v>
      </x:c>
      <x:c r="AK15" s="10" t="n">
        <x:f t="shared" si="6">AVERAGE(AB15:AI15)</x:f>
        <x:v>3.625</x:v>
      </x:c>
      <x:c r="AL15" s="10" t="n">
        <x:f t="shared" si="7">AVERAGE(AB15:AC15)</x:f>
        <x:v>4</x:v>
      </x:c>
      <x:c r="AM15" s="10" t="n">
        <x:f t="shared" si="8">AVERAGE(AD15:AE15)</x:f>
        <x:v>4.5</x:v>
      </x:c>
      <x:c r="AN15" s="10" t="n">
        <x:f t="shared" si="9">AVERAGE(AF15:AG15)</x:f>
        <x:v>5</x:v>
      </x:c>
      <x:c r="AO15" s="10" t="n">
        <x:f t="shared" si="10">AVERAGE(AH15:AI15)</x:f>
        <x:v>1</x:v>
      </x:c>
      <x:c r="AP15" s="8" t="s">
        <x:v>67</x:v>
      </x:c>
      <x:c r="AQ15" s="7">
        <x:v>581</x:v>
      </x:c>
      <x:c r="AR15" s="5">
        <x:v>1.04</x:v>
      </x:c>
      <x:c r="AS15" t="s">
        <x:v>51</x:v>
      </x:c>
      <x:c r="AT15" t="n">
        <x:f>COUNTIF(G15:N15,1)</x:f>
        <x:v>7</x:v>
      </x:c>
      <x:c r="AU15" s="5" t="n">
        <x:f>AVERAGE(AB15:AI15)</x:f>
        <x:v>3.625</x:v>
      </x:c>
      <x:c r="AV15" s="5" t="n">
        <x:f>SUMIFS($AT$2:$AT$41,$B$2:$B$41,B15,$AS$2:$AS$41,"Einschluss")/COUNTIFS($B$2:$B$41,B15,$AS$2:$AS$41,"Einschluss")</x:f>
        <x:v>5.833333333333333</x:v>
      </x:c>
      <x:c r="AW15" s="5" t="n">
        <x:f t="shared" si="11">AT15-AV15</x:f>
        <x:v>1.166666666666667</x:v>
      </x:c>
    </x:row>
    <x:row r="16">
      <x:c r="A16" s="7">
        <x:v>248</x:v>
      </x:c>
      <x:c r="B16" s="8" t="s">
        <x:v>58</x:v>
      </x:c>
      <x:c r="C16" s="9">
        <x:v>46268.642951389003</x:v>
      </x:c>
      <x:c r="D16" s="7">
        <x:v>1</x:v>
      </x:c>
      <x:c r="E16" s="7">
        <x:v>1</x:v>
      </x:c>
      <x:c r="F16" s="8" t="s">
        <x:v>68</x:v>
      </x:c>
      <x:c r="G16" s="7">
        <x:v>1</x:v>
      </x:c>
      <x:c r="H16" s="7">
        <x:v>3</x:v>
      </x:c>
      <x:c r="I16" s="7">
        <x:v>3</x:v>
      </x:c>
      <x:c r="J16" s="7">
        <x:v>4</x:v>
      </x:c>
      <x:c r="K16" s="7">
        <x:v>4</x:v>
      </x:c>
      <x:c r="L16" s="7">
        <x:v>2</x:v>
      </x:c>
      <x:c r="M16" s="7">
        <x:v>3</x:v>
      </x:c>
      <x:c r="N16" s="7">
        <x:v>4</x:v>
      </x:c>
      <x:c r="O16" s="10" t="n">
        <x:f t="shared" si="0">IF(G16=1,1,0)</x:f>
        <x:v>1</x:v>
      </x:c>
      <x:c r="P16" s="10" t="n">
        <x:f t="shared" si="0">IF(H16=1,1,0)</x:f>
        <x:v>0</x:v>
      </x:c>
      <x:c r="Q16" s="10" t="n">
        <x:f t="shared" si="0">IF(I16=1,1,0)</x:f>
        <x:v>0</x:v>
      </x:c>
      <x:c r="R16" s="10" t="n">
        <x:f t="shared" si="0">IF(J16=1,1,0)</x:f>
        <x:v>0</x:v>
      </x:c>
      <x:c r="S16" s="10" t="n">
        <x:f t="shared" si="0">IF(K16=1,1,0)</x:f>
        <x:v>0</x:v>
      </x:c>
      <x:c r="T16" s="10" t="n">
        <x:f t="shared" si="0">IF(L16=1,1,0)</x:f>
        <x:v>0</x:v>
      </x:c>
      <x:c r="U16" s="10" t="n">
        <x:f t="shared" si="0">IF(M16=1,1,0)</x:f>
        <x:v>0</x:v>
      </x:c>
      <x:c r="V16" s="10" t="n">
        <x:f t="shared" si="0">IF(N16=1,1,0)</x:f>
        <x:v>0</x:v>
      </x:c>
      <x:c r="W16" s="11" t="n">
        <x:f t="shared" si="1">SUM(O16:V16)</x:f>
        <x:v>1</x:v>
      </x:c>
      <x:c r="X16" s="4" t="n">
        <x:f t="shared" si="2">SUM(O16:P16)</x:f>
        <x:v>1</x:v>
      </x:c>
      <x:c r="Y16" s="4" t="n">
        <x:f t="shared" si="3">SUM(Q16:R16)</x:f>
        <x:v>0</x:v>
      </x:c>
      <x:c r="Z16" s="4" t="n">
        <x:f t="shared" si="4">SUM(S16:T16)</x:f>
        <x:v>0</x:v>
      </x:c>
      <x:c r="AA16" s="4" t="n">
        <x:f t="shared" si="5">SUM(U16:V16)</x:f>
        <x:v>0</x:v>
      </x:c>
      <x:c r="AB16" s="7">
        <x:v>4</x:v>
      </x:c>
      <x:c r="AC16" s="7">
        <x:v>4</x:v>
      </x:c>
      <x:c r="AD16" s="7">
        <x:v>4</x:v>
      </x:c>
      <x:c r="AE16" s="7">
        <x:v>3</x:v>
      </x:c>
      <x:c r="AF16" s="7">
        <x:v>5</x:v>
      </x:c>
      <x:c r="AG16" s="7">
        <x:v>3</x:v>
      </x:c>
      <x:c r="AH16" s="7">
        <x:v>1</x:v>
      </x:c>
      <x:c r="AI16" s="7">
        <x:v>1</x:v>
      </x:c>
      <x:c r="AJ16" s="7">
        <x:v>2</x:v>
      </x:c>
      <x:c r="AK16" s="10" t="n">
        <x:f t="shared" si="6">AVERAGE(AB16:AI16)</x:f>
        <x:v>3.125</x:v>
      </x:c>
      <x:c r="AL16" s="10" t="n">
        <x:f t="shared" si="7">AVERAGE(AB16:AC16)</x:f>
        <x:v>4</x:v>
      </x:c>
      <x:c r="AM16" s="10" t="n">
        <x:f t="shared" si="8">AVERAGE(AD16:AE16)</x:f>
        <x:v>3.5</x:v>
      </x:c>
      <x:c r="AN16" s="10" t="n">
        <x:f t="shared" si="9">AVERAGE(AF16:AG16)</x:f>
        <x:v>4</x:v>
      </x:c>
      <x:c r="AO16" s="10" t="n">
        <x:f t="shared" si="10">AVERAGE(AH16:AI16)</x:f>
        <x:v>1</x:v>
      </x:c>
      <x:c r="AP16" s="8" t="s">
        <x:v>69</x:v>
      </x:c>
      <x:c r="AQ16" s="7">
        <x:v>626</x:v>
      </x:c>
      <x:c r="AR16" s="5">
        <x:v>0.99</x:v>
      </x:c>
      <x:c r="AS16" t="s">
        <x:v>51</x:v>
      </x:c>
      <x:c r="AT16" t="n">
        <x:f>COUNTIF(G16:N16,1)</x:f>
        <x:v>1</x:v>
      </x:c>
      <x:c r="AU16" s="5" t="n">
        <x:f>AVERAGE(AB16:AI16)</x:f>
        <x:v>3.125</x:v>
      </x:c>
      <x:c r="AV16" s="5" t="n">
        <x:f>SUMIFS($AT$2:$AT$41,$B$2:$B$41,B16,$AS$2:$AS$41,"Einschluss")/COUNTIFS($B$2:$B$41,B16,$AS$2:$AS$41,"Einschluss")</x:f>
        <x:v>4</x:v>
      </x:c>
      <x:c r="AW16" s="5" t="n">
        <x:f t="shared" si="11">AT16-AV16</x:f>
        <x:v>-3</x:v>
      </x:c>
    </x:row>
    <x:row r="17">
      <x:c r="A17" s="7">
        <x:v>249</x:v>
      </x:c>
      <x:c r="B17" s="8" t="s">
        <x:v>58</x:v>
      </x:c>
      <x:c r="C17" s="9">
        <x:v>46268.648043980997</x:v>
      </x:c>
      <x:c r="D17" s="7">
        <x:v>1</x:v>
      </x:c>
      <x:c r="E17" s="7">
        <x:v>1</x:v>
      </x:c>
      <x:c r="F17" s="8" t="s">
        <x:v>70</x:v>
      </x:c>
      <x:c r="G17" s="7">
        <x:v>1</x:v>
      </x:c>
      <x:c r="H17" s="7">
        <x:v>1</x:v>
      </x:c>
      <x:c r="I17" s="7">
        <x:v>4</x:v>
      </x:c>
      <x:c r="J17" s="7">
        <x:v>1</x:v>
      </x:c>
      <x:c r="K17" s="7">
        <x:v>1</x:v>
      </x:c>
      <x:c r="L17" s="7">
        <x:v>1</x:v>
      </x:c>
      <x:c r="M17" s="7">
        <x:v>2</x:v>
      </x:c>
      <x:c r="N17" s="7">
        <x:v>4</x:v>
      </x:c>
      <x:c r="O17" s="10" t="n">
        <x:f t="shared" si="0">IF(G17=1,1,0)</x:f>
        <x:v>1</x:v>
      </x:c>
      <x:c r="P17" s="10" t="n">
        <x:f t="shared" si="0">IF(H17=1,1,0)</x:f>
        <x:v>1</x:v>
      </x:c>
      <x:c r="Q17" s="10" t="n">
        <x:f t="shared" si="0">IF(I17=1,1,0)</x:f>
        <x:v>0</x:v>
      </x:c>
      <x:c r="R17" s="10" t="n">
        <x:f t="shared" si="0">IF(J17=1,1,0)</x:f>
        <x:v>1</x:v>
      </x:c>
      <x:c r="S17" s="10" t="n">
        <x:f t="shared" si="0">IF(K17=1,1,0)</x:f>
        <x:v>1</x:v>
      </x:c>
      <x:c r="T17" s="10" t="n">
        <x:f t="shared" si="0">IF(L17=1,1,0)</x:f>
        <x:v>1</x:v>
      </x:c>
      <x:c r="U17" s="10" t="n">
        <x:f t="shared" si="0">IF(M17=1,1,0)</x:f>
        <x:v>0</x:v>
      </x:c>
      <x:c r="V17" s="10" t="n">
        <x:f t="shared" si="0">IF(N17=1,1,0)</x:f>
        <x:v>0</x:v>
      </x:c>
      <x:c r="W17" s="11" t="n">
        <x:f t="shared" si="1">SUM(O17:V17)</x:f>
        <x:v>5</x:v>
      </x:c>
      <x:c r="X17" s="4" t="n">
        <x:f t="shared" si="2">SUM(O17:P17)</x:f>
        <x:v>2</x:v>
      </x:c>
      <x:c r="Y17" s="4" t="n">
        <x:f t="shared" si="3">SUM(Q17:R17)</x:f>
        <x:v>1</x:v>
      </x:c>
      <x:c r="Z17" s="4" t="n">
        <x:f t="shared" si="4">SUM(S17:T17)</x:f>
        <x:v>2</x:v>
      </x:c>
      <x:c r="AA17" s="4" t="n">
        <x:f t="shared" si="5">SUM(U17:V17)</x:f>
        <x:v>0</x:v>
      </x:c>
      <x:c r="AB17" s="7">
        <x:v>5</x:v>
      </x:c>
      <x:c r="AC17" s="7">
        <x:v>4</x:v>
      </x:c>
      <x:c r="AD17" s="7">
        <x:v>5</x:v>
      </x:c>
      <x:c r="AE17" s="7">
        <x:v>3</x:v>
      </x:c>
      <x:c r="AF17" s="7">
        <x:v>4</x:v>
      </x:c>
      <x:c r="AG17" s="7">
        <x:v>3</x:v>
      </x:c>
      <x:c r="AH17" s="7">
        <x:v>1</x:v>
      </x:c>
      <x:c r="AI17" s="7">
        <x:v>1</x:v>
      </x:c>
      <x:c r="AJ17" s="7">
        <x:v>4</x:v>
      </x:c>
      <x:c r="AK17" s="10" t="n">
        <x:f t="shared" si="6">AVERAGE(AB17:AI17)</x:f>
        <x:v>3.25</x:v>
      </x:c>
      <x:c r="AL17" s="10" t="n">
        <x:f t="shared" si="7">AVERAGE(AB17:AC17)</x:f>
        <x:v>4.5</x:v>
      </x:c>
      <x:c r="AM17" s="10" t="n">
        <x:f t="shared" si="8">AVERAGE(AD17:AE17)</x:f>
        <x:v>4</x:v>
      </x:c>
      <x:c r="AN17" s="10" t="n">
        <x:f t="shared" si="9">AVERAGE(AF17:AG17)</x:f>
        <x:v>3.5</x:v>
      </x:c>
      <x:c r="AO17" s="10" t="n">
        <x:f t="shared" si="10">AVERAGE(AH17:AI17)</x:f>
        <x:v>1</x:v>
      </x:c>
      <x:c r="AP17" s="8" t="s">
        <x:v>71</x:v>
      </x:c>
      <x:c r="AQ17" s="7">
        <x:v>875</x:v>
      </x:c>
      <x:c r="AR17" s="5">
        <x:v>0.81</x:v>
      </x:c>
      <x:c r="AS17" t="s">
        <x:v>51</x:v>
      </x:c>
      <x:c r="AT17" t="n">
        <x:f>COUNTIF(G17:N17,1)</x:f>
        <x:v>5</x:v>
      </x:c>
      <x:c r="AU17" s="5" t="n">
        <x:f>AVERAGE(AB17:AI17)</x:f>
        <x:v>3.25</x:v>
      </x:c>
      <x:c r="AV17" s="5" t="n">
        <x:f>SUMIFS($AT$2:$AT$41,$B$2:$B$41,B17,$AS$2:$AS$41,"Einschluss")/COUNTIFS($B$2:$B$41,B17,$AS$2:$AS$41,"Einschluss")</x:f>
        <x:v>4</x:v>
      </x:c>
      <x:c r="AW17" s="5" t="n">
        <x:f t="shared" si="11">AT17-AV17</x:f>
        <x:v>1</x:v>
      </x:c>
    </x:row>
    <x:row r="18">
      <x:c r="A18" s="7">
        <x:v>252</x:v>
      </x:c>
      <x:c r="B18" s="8" t="s">
        <x:v>64</x:v>
      </x:c>
      <x:c r="C18" s="9">
        <x:v>46268.653043981001</x:v>
      </x:c>
      <x:c r="D18" s="7">
        <x:v>1</x:v>
      </x:c>
      <x:c r="E18" s="7">
        <x:v>1</x:v>
      </x:c>
      <x:c r="F18" s="8"/>
      <x:c r="G18" s="7">
        <x:v>1</x:v>
      </x:c>
      <x:c r="H18" s="7">
        <x:v>1</x:v>
      </x:c>
      <x:c r="I18" s="7">
        <x:v>3</x:v>
      </x:c>
      <x:c r="J18" s="7">
        <x:v>2</x:v>
      </x:c>
      <x:c r="K18" s="7">
        <x:v>4</x:v>
      </x:c>
      <x:c r="L18" s="7">
        <x:v>1</x:v>
      </x:c>
      <x:c r="M18" s="7">
        <x:v>1</x:v>
      </x:c>
      <x:c r="N18" s="7">
        <x:v>1</x:v>
      </x:c>
      <x:c r="O18" s="10" t="n">
        <x:f t="shared" si="0">IF(G18=1,1,0)</x:f>
        <x:v>1</x:v>
      </x:c>
      <x:c r="P18" s="10" t="n">
        <x:f t="shared" si="0">IF(H18=1,1,0)</x:f>
        <x:v>1</x:v>
      </x:c>
      <x:c r="Q18" s="10" t="n">
        <x:f t="shared" si="0">IF(I18=1,1,0)</x:f>
        <x:v>0</x:v>
      </x:c>
      <x:c r="R18" s="10" t="n">
        <x:f t="shared" si="0">IF(J18=1,1,0)</x:f>
        <x:v>0</x:v>
      </x:c>
      <x:c r="S18" s="10" t="n">
        <x:f t="shared" si="0">IF(K18=1,1,0)</x:f>
        <x:v>0</x:v>
      </x:c>
      <x:c r="T18" s="10" t="n">
        <x:f t="shared" si="0">IF(L18=1,1,0)</x:f>
        <x:v>1</x:v>
      </x:c>
      <x:c r="U18" s="10" t="n">
        <x:f t="shared" si="0">IF(M18=1,1,0)</x:f>
        <x:v>1</x:v>
      </x:c>
      <x:c r="V18" s="10" t="n">
        <x:f t="shared" si="0">IF(N18=1,1,0)</x:f>
        <x:v>1</x:v>
      </x:c>
      <x:c r="W18" s="11" t="n">
        <x:f t="shared" si="1">SUM(O18:V18)</x:f>
        <x:v>5</x:v>
      </x:c>
      <x:c r="X18" s="4" t="n">
        <x:f t="shared" si="2">SUM(O18:P18)</x:f>
        <x:v>2</x:v>
      </x:c>
      <x:c r="Y18" s="4" t="n">
        <x:f t="shared" si="3">SUM(Q18:R18)</x:f>
        <x:v>0</x:v>
      </x:c>
      <x:c r="Z18" s="4" t="n">
        <x:f t="shared" si="4">SUM(S18:T18)</x:f>
        <x:v>1</x:v>
      </x:c>
      <x:c r="AA18" s="4" t="n">
        <x:f t="shared" si="5">SUM(U18:V18)</x:f>
        <x:v>2</x:v>
      </x:c>
      <x:c r="AB18" s="7">
        <x:v>5</x:v>
      </x:c>
      <x:c r="AC18" s="7">
        <x:v>4</x:v>
      </x:c>
      <x:c r="AD18" s="7">
        <x:v>4</x:v>
      </x:c>
      <x:c r="AE18" s="7">
        <x:v>4</x:v>
      </x:c>
      <x:c r="AF18" s="7">
        <x:v>2</x:v>
      </x:c>
      <x:c r="AG18" s="7">
        <x:v>2</x:v>
      </x:c>
      <x:c r="AH18" s="7">
        <x:v>4</x:v>
      </x:c>
      <x:c r="AI18" s="7">
        <x:v>4</x:v>
      </x:c>
      <x:c r="AJ18" s="7">
        <x:v>2</x:v>
      </x:c>
      <x:c r="AK18" s="10" t="n">
        <x:f t="shared" si="6">AVERAGE(AB18:AI18)</x:f>
        <x:v>3.625</x:v>
      </x:c>
      <x:c r="AL18" s="10" t="n">
        <x:f t="shared" si="7">AVERAGE(AB18:AC18)</x:f>
        <x:v>4.5</x:v>
      </x:c>
      <x:c r="AM18" s="10" t="n">
        <x:f t="shared" si="8">AVERAGE(AD18:AE18)</x:f>
        <x:v>4</x:v>
      </x:c>
      <x:c r="AN18" s="10" t="n">
        <x:f t="shared" si="9">AVERAGE(AF18:AG18)</x:f>
        <x:v>2</x:v>
      </x:c>
      <x:c r="AO18" s="10" t="n">
        <x:f t="shared" si="10">AVERAGE(AH18:AI18)</x:f>
        <x:v>4</x:v>
      </x:c>
      <x:c r="AP18" s="8" t="s">
        <x:v>72</x:v>
      </x:c>
      <x:c r="AQ18" s="7">
        <x:v>728</x:v>
      </x:c>
      <x:c r="AR18" s="5">
        <x:v>1.1200000000000001</x:v>
      </x:c>
      <x:c r="AS18" t="s">
        <x:v>51</x:v>
      </x:c>
      <x:c r="AT18" t="n">
        <x:f>COUNTIF(G18:N18,1)</x:f>
        <x:v>5</x:v>
      </x:c>
      <x:c r="AU18" s="5" t="n">
        <x:f>AVERAGE(AB18:AI18)</x:f>
        <x:v>3.625</x:v>
      </x:c>
      <x:c r="AV18" s="5" t="n">
        <x:f>SUMIFS($AT$2:$AT$41,$B$2:$B$41,B18,$AS$2:$AS$41,"Einschluss")/COUNTIFS($B$2:$B$41,B18,$AS$2:$AS$41,"Einschluss")</x:f>
        <x:v>5.833333333333333</x:v>
      </x:c>
      <x:c r="AW18" s="5" t="n">
        <x:f t="shared" si="11">AT18-AV18</x:f>
        <x:v>-0.833333333333333</x:v>
      </x:c>
    </x:row>
    <x:row r="19">
      <x:c r="A19" s="7">
        <x:v>253</x:v>
      </x:c>
      <x:c r="B19" s="8" t="s">
        <x:v>64</x:v>
      </x:c>
      <x:c r="C19" s="9">
        <x:v>46268.658055555999</x:v>
      </x:c>
      <x:c r="D19" s="7">
        <x:v>1</x:v>
      </x:c>
      <x:c r="E19" s="7">
        <x:v>1</x:v>
      </x:c>
      <x:c r="F19" s="8" t="s">
        <x:v>73</x:v>
      </x:c>
      <x:c r="G19" s="7">
        <x:v>1</x:v>
      </x:c>
      <x:c r="H19" s="7">
        <x:v>1</x:v>
      </x:c>
      <x:c r="I19" s="7">
        <x:v>1</x:v>
      </x:c>
      <x:c r="J19" s="7">
        <x:v>2</x:v>
      </x:c>
      <x:c r="K19" s="7">
        <x:v>1</x:v>
      </x:c>
      <x:c r="L19" s="7">
        <x:v>1</x:v>
      </x:c>
      <x:c r="M19" s="7">
        <x:v>4</x:v>
      </x:c>
      <x:c r="N19" s="7">
        <x:v>1</x:v>
      </x:c>
      <x:c r="O19" s="10" t="n">
        <x:f t="shared" si="0">IF(G19=1,1,0)</x:f>
        <x:v>1</x:v>
      </x:c>
      <x:c r="P19" s="10" t="n">
        <x:f t="shared" si="0">IF(H19=1,1,0)</x:f>
        <x:v>1</x:v>
      </x:c>
      <x:c r="Q19" s="10" t="n">
        <x:f t="shared" si="0">IF(I19=1,1,0)</x:f>
        <x:v>1</x:v>
      </x:c>
      <x:c r="R19" s="10" t="n">
        <x:f t="shared" si="0">IF(J19=1,1,0)</x:f>
        <x:v>0</x:v>
      </x:c>
      <x:c r="S19" s="10" t="n">
        <x:f t="shared" si="0">IF(K19=1,1,0)</x:f>
        <x:v>1</x:v>
      </x:c>
      <x:c r="T19" s="10" t="n">
        <x:f t="shared" si="0">IF(L19=1,1,0)</x:f>
        <x:v>1</x:v>
      </x:c>
      <x:c r="U19" s="10" t="n">
        <x:f t="shared" si="0">IF(M19=1,1,0)</x:f>
        <x:v>0</x:v>
      </x:c>
      <x:c r="V19" s="10" t="n">
        <x:f t="shared" si="0">IF(N19=1,1,0)</x:f>
        <x:v>1</x:v>
      </x:c>
      <x:c r="W19" s="11" t="n">
        <x:f t="shared" si="1">SUM(O19:V19)</x:f>
        <x:v>6</x:v>
      </x:c>
      <x:c r="X19" s="4" t="n">
        <x:f t="shared" si="2">SUM(O19:P19)</x:f>
        <x:v>2</x:v>
      </x:c>
      <x:c r="Y19" s="4" t="n">
        <x:f t="shared" si="3">SUM(Q19:R19)</x:f>
        <x:v>1</x:v>
      </x:c>
      <x:c r="Z19" s="4" t="n">
        <x:f t="shared" si="4">SUM(S19:T19)</x:f>
        <x:v>2</x:v>
      </x:c>
      <x:c r="AA19" s="4" t="n">
        <x:f t="shared" si="5">SUM(U19:V19)</x:f>
        <x:v>1</x:v>
      </x:c>
      <x:c r="AB19" s="7">
        <x:v>5</x:v>
      </x:c>
      <x:c r="AC19" s="7">
        <x:v>4</x:v>
      </x:c>
      <x:c r="AD19" s="7">
        <x:v>4</x:v>
      </x:c>
      <x:c r="AE19" s="7">
        <x:v>3</x:v>
      </x:c>
      <x:c r="AF19" s="7">
        <x:v>4</x:v>
      </x:c>
      <x:c r="AG19" s="7">
        <x:v>4</x:v>
      </x:c>
      <x:c r="AH19" s="7">
        <x:v>2</x:v>
      </x:c>
      <x:c r="AI19" s="7">
        <x:v>3</x:v>
      </x:c>
      <x:c r="AJ19" s="7">
        <x:v>2</x:v>
      </x:c>
      <x:c r="AK19" s="10" t="n">
        <x:f t="shared" si="6">AVERAGE(AB19:AI19)</x:f>
        <x:v>3.625</x:v>
      </x:c>
      <x:c r="AL19" s="10" t="n">
        <x:f t="shared" si="7">AVERAGE(AB19:AC19)</x:f>
        <x:v>4.5</x:v>
      </x:c>
      <x:c r="AM19" s="10" t="n">
        <x:f t="shared" si="8">AVERAGE(AD19:AE19)</x:f>
        <x:v>3.5</x:v>
      </x:c>
      <x:c r="AN19" s="10" t="n">
        <x:f t="shared" si="9">AVERAGE(AF19:AG19)</x:f>
        <x:v>4</x:v>
      </x:c>
      <x:c r="AO19" s="10" t="n">
        <x:f t="shared" si="10">AVERAGE(AH19:AI19)</x:f>
        <x:v>2.5</x:v>
      </x:c>
      <x:c r="AP19" s="8" t="s">
        <x:v>74</x:v>
      </x:c>
      <x:c r="AQ19" s="7">
        <x:v>758</x:v>
      </x:c>
      <x:c r="AR19" s="5">
        <x:v>0.87</x:v>
      </x:c>
      <x:c r="AS19" t="s">
        <x:v>51</x:v>
      </x:c>
      <x:c r="AT19" t="n">
        <x:f>COUNTIF(G19:N19,1)</x:f>
        <x:v>6</x:v>
      </x:c>
      <x:c r="AU19" s="5" t="n">
        <x:f>AVERAGE(AB19:AI19)</x:f>
        <x:v>3.625</x:v>
      </x:c>
      <x:c r="AV19" s="5" t="n">
        <x:f>SUMIFS($AT$2:$AT$41,$B$2:$B$41,B19,$AS$2:$AS$41,"Einschluss")/COUNTIFS($B$2:$B$41,B19,$AS$2:$AS$41,"Einschluss")</x:f>
        <x:v>5.833333333333333</x:v>
      </x:c>
      <x:c r="AW19" s="5" t="n">
        <x:f t="shared" si="11">AT19-AV19</x:f>
        <x:v>0.16666666666666696</x:v>
      </x:c>
    </x:row>
    <x:row r="20">
      <x:c r="A20" s="7">
        <x:v>254</x:v>
      </x:c>
      <x:c r="B20" s="8" t="s">
        <x:v>64</x:v>
      </x:c>
      <x:c r="C20" s="9">
        <x:v>46268.658055555999</x:v>
      </x:c>
      <x:c r="D20" s="7">
        <x:v>1</x:v>
      </x:c>
      <x:c r="E20" s="7">
        <x:v>1</x:v>
      </x:c>
      <x:c r="F20" s="8"/>
      <x:c r="G20" s="7">
        <x:v>1</x:v>
      </x:c>
      <x:c r="H20" s="7">
        <x:v>4</x:v>
      </x:c>
      <x:c r="I20" s="7">
        <x:v>2</x:v>
      </x:c>
      <x:c r="J20" s="7">
        <x:v>1</x:v>
      </x:c>
      <x:c r="K20" s="7">
        <x:v>1</x:v>
      </x:c>
      <x:c r="L20" s="7">
        <x:v>1</x:v>
      </x:c>
      <x:c r="M20" s="7">
        <x:v>2</x:v>
      </x:c>
      <x:c r="N20" s="7">
        <x:v>1</x:v>
      </x:c>
      <x:c r="O20" s="10" t="n">
        <x:f t="shared" si="0">IF(G20=1,1,0)</x:f>
        <x:v>1</x:v>
      </x:c>
      <x:c r="P20" s="10" t="n">
        <x:f t="shared" si="0">IF(H20=1,1,0)</x:f>
        <x:v>0</x:v>
      </x:c>
      <x:c r="Q20" s="10" t="n">
        <x:f t="shared" si="0">IF(I20=1,1,0)</x:f>
        <x:v>0</x:v>
      </x:c>
      <x:c r="R20" s="10" t="n">
        <x:f t="shared" si="0">IF(J20=1,1,0)</x:f>
        <x:v>1</x:v>
      </x:c>
      <x:c r="S20" s="10" t="n">
        <x:f t="shared" si="0">IF(K20=1,1,0)</x:f>
        <x:v>1</x:v>
      </x:c>
      <x:c r="T20" s="10" t="n">
        <x:f t="shared" si="0">IF(L20=1,1,0)</x:f>
        <x:v>1</x:v>
      </x:c>
      <x:c r="U20" s="10" t="n">
        <x:f t="shared" si="0">IF(M20=1,1,0)</x:f>
        <x:v>0</x:v>
      </x:c>
      <x:c r="V20" s="10" t="n">
        <x:f t="shared" si="0">IF(N20=1,1,0)</x:f>
        <x:v>1</x:v>
      </x:c>
      <x:c r="W20" s="11" t="n">
        <x:f t="shared" si="1">SUM(O20:V20)</x:f>
        <x:v>5</x:v>
      </x:c>
      <x:c r="X20" s="4" t="n">
        <x:f t="shared" si="2">SUM(O20:P20)</x:f>
        <x:v>1</x:v>
      </x:c>
      <x:c r="Y20" s="4" t="n">
        <x:f t="shared" si="3">SUM(Q20:R20)</x:f>
        <x:v>1</x:v>
      </x:c>
      <x:c r="Z20" s="4" t="n">
        <x:f t="shared" si="4">SUM(S20:T20)</x:f>
        <x:v>2</x:v>
      </x:c>
      <x:c r="AA20" s="4" t="n">
        <x:f t="shared" si="5">SUM(U20:V20)</x:f>
        <x:v>1</x:v>
      </x:c>
      <x:c r="AB20" s="7">
        <x:v>5</x:v>
      </x:c>
      <x:c r="AC20" s="7">
        <x:v>3</x:v>
      </x:c>
      <x:c r="AD20" s="7">
        <x:v>3</x:v>
      </x:c>
      <x:c r="AE20" s="7">
        <x:v>4</x:v>
      </x:c>
      <x:c r="AF20" s="7">
        <x:v>5</x:v>
      </x:c>
      <x:c r="AG20" s="7">
        <x:v>5</x:v>
      </x:c>
      <x:c r="AH20" s="7">
        <x:v>2</x:v>
      </x:c>
      <x:c r="AI20" s="7">
        <x:v>3</x:v>
      </x:c>
      <x:c r="AJ20" s="7">
        <x:v>1</x:v>
      </x:c>
      <x:c r="AK20" s="10" t="n">
        <x:f t="shared" si="6">AVERAGE(AB20:AI20)</x:f>
        <x:v>3.75</x:v>
      </x:c>
      <x:c r="AL20" s="10" t="n">
        <x:f t="shared" si="7">AVERAGE(AB20:AC20)</x:f>
        <x:v>4</x:v>
      </x:c>
      <x:c r="AM20" s="10" t="n">
        <x:f t="shared" si="8">AVERAGE(AD20:AE20)</x:f>
        <x:v>3.5</x:v>
      </x:c>
      <x:c r="AN20" s="10" t="n">
        <x:f t="shared" si="9">AVERAGE(AF20:AG20)</x:f>
        <x:v>5</x:v>
      </x:c>
      <x:c r="AO20" s="10" t="n">
        <x:f t="shared" si="10">AVERAGE(AH20:AI20)</x:f>
        <x:v>2.5</x:v>
      </x:c>
      <x:c r="AP20" s="8" t="s">
        <x:v>75</x:v>
      </x:c>
      <x:c r="AQ20" s="7">
        <x:v>721</x:v>
      </x:c>
      <x:c r="AR20" s="5">
        <x:v>1.1200000000000001</x:v>
      </x:c>
      <x:c r="AS20" t="s">
        <x:v>51</x:v>
      </x:c>
      <x:c r="AT20" t="n">
        <x:f>COUNTIF(G20:N20,1)</x:f>
        <x:v>5</x:v>
      </x:c>
      <x:c r="AU20" s="5" t="n">
        <x:f>AVERAGE(AB20:AI20)</x:f>
        <x:v>3.75</x:v>
      </x:c>
      <x:c r="AV20" s="5" t="n">
        <x:f>SUMIFS($AT$2:$AT$41,$B$2:$B$41,B20,$AS$2:$AS$41,"Einschluss")/COUNTIFS($B$2:$B$41,B20,$AS$2:$AS$41,"Einschluss")</x:f>
        <x:v>5.833333333333333</x:v>
      </x:c>
      <x:c r="AW20" s="5" t="n">
        <x:f t="shared" si="11">AT20-AV20</x:f>
        <x:v>-0.833333333333333</x:v>
      </x:c>
    </x:row>
    <x:row r="21">
      <x:c r="A21" s="7">
        <x:v>256</x:v>
      </x:c>
      <x:c r="B21" s="8" t="s">
        <x:v>64</x:v>
      </x:c>
      <x:c r="C21" s="9">
        <x:v>46269.473310185</x:v>
      </x:c>
      <x:c r="D21" s="7">
        <x:v>1</x:v>
      </x:c>
      <x:c r="E21" s="7">
        <x:v>2</x:v>
      </x:c>
      <x:c r="F21" s="8" t="s">
        <x:v>76</x:v>
      </x:c>
      <x:c r="G21" s="7">
        <x:v>1</x:v>
      </x:c>
      <x:c r="H21" s="7">
        <x:v>1</x:v>
      </x:c>
      <x:c r="I21" s="7">
        <x:v>1</x:v>
      </x:c>
      <x:c r="J21" s="7">
        <x:v>1</x:v>
      </x:c>
      <x:c r="K21" s="7">
        <x:v>4</x:v>
      </x:c>
      <x:c r="L21" s="7">
        <x:v>1</x:v>
      </x:c>
      <x:c r="M21" s="7">
        <x:v>1</x:v>
      </x:c>
      <x:c r="N21" s="7">
        <x:v>1</x:v>
      </x:c>
      <x:c r="O21" s="10" t="n">
        <x:f t="shared" si="0">IF(G21=1,1,0)</x:f>
        <x:v>1</x:v>
      </x:c>
      <x:c r="P21" s="10" t="n">
        <x:f t="shared" si="0">IF(H21=1,1,0)</x:f>
        <x:v>1</x:v>
      </x:c>
      <x:c r="Q21" s="10" t="n">
        <x:f t="shared" si="0">IF(I21=1,1,0)</x:f>
        <x:v>1</x:v>
      </x:c>
      <x:c r="R21" s="10" t="n">
        <x:f t="shared" si="0">IF(J21=1,1,0)</x:f>
        <x:v>1</x:v>
      </x:c>
      <x:c r="S21" s="10" t="n">
        <x:f t="shared" si="0">IF(K21=1,1,0)</x:f>
        <x:v>0</x:v>
      </x:c>
      <x:c r="T21" s="10" t="n">
        <x:f t="shared" si="0">IF(L21=1,1,0)</x:f>
        <x:v>1</x:v>
      </x:c>
      <x:c r="U21" s="10" t="n">
        <x:f t="shared" si="0">IF(M21=1,1,0)</x:f>
        <x:v>1</x:v>
      </x:c>
      <x:c r="V21" s="10" t="n">
        <x:f t="shared" si="0">IF(N21=1,1,0)</x:f>
        <x:v>1</x:v>
      </x:c>
      <x:c r="W21" s="11" t="n">
        <x:f t="shared" si="1">SUM(O21:V21)</x:f>
        <x:v>7</x:v>
      </x:c>
      <x:c r="X21" s="4" t="n">
        <x:f t="shared" si="2">SUM(O21:P21)</x:f>
        <x:v>2</x:v>
      </x:c>
      <x:c r="Y21" s="4" t="n">
        <x:f t="shared" si="3">SUM(Q21:R21)</x:f>
        <x:v>2</x:v>
      </x:c>
      <x:c r="Z21" s="4" t="n">
        <x:f t="shared" si="4">SUM(S21:T21)</x:f>
        <x:v>1</x:v>
      </x:c>
      <x:c r="AA21" s="4" t="n">
        <x:f t="shared" si="5">SUM(U21:V21)</x:f>
        <x:v>2</x:v>
      </x:c>
      <x:c r="AB21" s="7">
        <x:v>5</x:v>
      </x:c>
      <x:c r="AC21" s="7">
        <x:v>5</x:v>
      </x:c>
      <x:c r="AD21" s="7">
        <x:v>4</x:v>
      </x:c>
      <x:c r="AE21" s="7">
        <x:v>4</x:v>
      </x:c>
      <x:c r="AF21" s="7">
        <x:v>5</x:v>
      </x:c>
      <x:c r="AG21" s="7">
        <x:v>5</x:v>
      </x:c>
      <x:c r="AH21" s="7">
        <x:v>3</x:v>
      </x:c>
      <x:c r="AI21" s="7">
        <x:v>5</x:v>
      </x:c>
      <x:c r="AJ21" s="7">
        <x:v>5</x:v>
      </x:c>
      <x:c r="AK21" s="10" t="n">
        <x:f t="shared" si="6">AVERAGE(AB21:AI21)</x:f>
        <x:v>4.5</x:v>
      </x:c>
      <x:c r="AL21" s="10" t="n">
        <x:f t="shared" si="7">AVERAGE(AB21:AC21)</x:f>
        <x:v>5</x:v>
      </x:c>
      <x:c r="AM21" s="10" t="n">
        <x:f t="shared" si="8">AVERAGE(AD21:AE21)</x:f>
        <x:v>4</x:v>
      </x:c>
      <x:c r="AN21" s="10" t="n">
        <x:f t="shared" si="9">AVERAGE(AF21:AG21)</x:f>
        <x:v>5</x:v>
      </x:c>
      <x:c r="AO21" s="10" t="n">
        <x:f t="shared" si="10">AVERAGE(AH21:AI21)</x:f>
        <x:v>4</x:v>
      </x:c>
      <x:c r="AP21" s="8" t="s">
        <x:v>77</x:v>
      </x:c>
      <x:c r="AQ21" s="7">
        <x:v>1210</x:v>
      </x:c>
      <x:c r="AR21" s="5">
        <x:v>0.55000000000000004</x:v>
      </x:c>
      <x:c r="AS21" t="s">
        <x:v>51</x:v>
      </x:c>
      <x:c r="AT21" t="n">
        <x:f>COUNTIF(G21:N21,1)</x:f>
        <x:v>7</x:v>
      </x:c>
      <x:c r="AU21" s="5" t="n">
        <x:f>AVERAGE(AB21:AI21)</x:f>
        <x:v>4.5</x:v>
      </x:c>
      <x:c r="AV21" s="5" t="n">
        <x:f>SUMIFS($AT$2:$AT$41,$B$2:$B$41,B21,$AS$2:$AS$41,"Einschluss")/COUNTIFS($B$2:$B$41,B21,$AS$2:$AS$41,"Einschluss")</x:f>
        <x:v>5.833333333333333</x:v>
      </x:c>
      <x:c r="AW21" s="5" t="n">
        <x:f t="shared" si="11">AT21-AV21</x:f>
        <x:v>1.166666666666667</x:v>
      </x:c>
    </x:row>
    <x:row r="22">
      <x:c r="A22" s="7">
        <x:v>257</x:v>
      </x:c>
      <x:c r="B22" s="8" t="s">
        <x:v>64</x:v>
      </x:c>
      <x:c r="C22" s="9">
        <x:v>46269.473761574001</x:v>
      </x:c>
      <x:c r="D22" s="7">
        <x:v>1</x:v>
      </x:c>
      <x:c r="E22" s="7">
        <x:v>1</x:v>
      </x:c>
      <x:c r="F22" s="8" t="s">
        <x:v>78</x:v>
      </x:c>
      <x:c r="G22" s="7">
        <x:v>1</x:v>
      </x:c>
      <x:c r="H22" s="7">
        <x:v>1</x:v>
      </x:c>
      <x:c r="I22" s="7">
        <x:v>1</x:v>
      </x:c>
      <x:c r="J22" s="7">
        <x:v>1</x:v>
      </x:c>
      <x:c r="K22" s="7">
        <x:v>1</x:v>
      </x:c>
      <x:c r="L22" s="7">
        <x:v>1</x:v>
      </x:c>
      <x:c r="M22" s="7">
        <x:v>3</x:v>
      </x:c>
      <x:c r="N22" s="7">
        <x:v>1</x:v>
      </x:c>
      <x:c r="O22" s="10" t="n">
        <x:f t="shared" si="0">IF(G22=1,1,0)</x:f>
        <x:v>1</x:v>
      </x:c>
      <x:c r="P22" s="10" t="n">
        <x:f t="shared" si="0">IF(H22=1,1,0)</x:f>
        <x:v>1</x:v>
      </x:c>
      <x:c r="Q22" s="10" t="n">
        <x:f t="shared" si="0">IF(I22=1,1,0)</x:f>
        <x:v>1</x:v>
      </x:c>
      <x:c r="R22" s="10" t="n">
        <x:f t="shared" si="0">IF(J22=1,1,0)</x:f>
        <x:v>1</x:v>
      </x:c>
      <x:c r="S22" s="10" t="n">
        <x:f t="shared" si="0">IF(K22=1,1,0)</x:f>
        <x:v>1</x:v>
      </x:c>
      <x:c r="T22" s="10" t="n">
        <x:f t="shared" si="0">IF(L22=1,1,0)</x:f>
        <x:v>1</x:v>
      </x:c>
      <x:c r="U22" s="10" t="n">
        <x:f t="shared" si="0">IF(M22=1,1,0)</x:f>
        <x:v>0</x:v>
      </x:c>
      <x:c r="V22" s="10" t="n">
        <x:f t="shared" si="0">IF(N22=1,1,0)</x:f>
        <x:v>1</x:v>
      </x:c>
      <x:c r="W22" s="11" t="n">
        <x:f t="shared" si="1">SUM(O22:V22)</x:f>
        <x:v>7</x:v>
      </x:c>
      <x:c r="X22" s="4" t="n">
        <x:f t="shared" si="2">SUM(O22:P22)</x:f>
        <x:v>2</x:v>
      </x:c>
      <x:c r="Y22" s="4" t="n">
        <x:f t="shared" si="3">SUM(Q22:R22)</x:f>
        <x:v>2</x:v>
      </x:c>
      <x:c r="Z22" s="4" t="n">
        <x:f t="shared" si="4">SUM(S22:T22)</x:f>
        <x:v>2</x:v>
      </x:c>
      <x:c r="AA22" s="4" t="n">
        <x:f t="shared" si="5">SUM(U22:V22)</x:f>
        <x:v>1</x:v>
      </x:c>
      <x:c r="AB22" s="7">
        <x:v>5</x:v>
      </x:c>
      <x:c r="AC22" s="7">
        <x:v>5</x:v>
      </x:c>
      <x:c r="AD22" s="7">
        <x:v>5</x:v>
      </x:c>
      <x:c r="AE22" s="7">
        <x:v>5</x:v>
      </x:c>
      <x:c r="AF22" s="7">
        <x:v>5</x:v>
      </x:c>
      <x:c r="AG22" s="7">
        <x:v>5</x:v>
      </x:c>
      <x:c r="AH22" s="7">
        <x:v>1</x:v>
      </x:c>
      <x:c r="AI22" s="7">
        <x:v>2</x:v>
      </x:c>
      <x:c r="AJ22" s="7">
        <x:v>4</x:v>
      </x:c>
      <x:c r="AK22" s="10" t="n">
        <x:f t="shared" si="6">AVERAGE(AB22:AI22)</x:f>
        <x:v>4.125</x:v>
      </x:c>
      <x:c r="AL22" s="10" t="n">
        <x:f t="shared" si="7">AVERAGE(AB22:AC22)</x:f>
        <x:v>5</x:v>
      </x:c>
      <x:c r="AM22" s="10" t="n">
        <x:f t="shared" si="8">AVERAGE(AD22:AE22)</x:f>
        <x:v>5</x:v>
      </x:c>
      <x:c r="AN22" s="10" t="n">
        <x:f t="shared" si="9">AVERAGE(AF22:AG22)</x:f>
        <x:v>5</x:v>
      </x:c>
      <x:c r="AO22" s="10" t="n">
        <x:f t="shared" si="10">AVERAGE(AH22:AI22)</x:f>
        <x:v>1.5</x:v>
      </x:c>
      <x:c r="AP22" s="8" t="s">
        <x:v>79</x:v>
      </x:c>
      <x:c r="AQ22" s="7">
        <x:v>604</x:v>
      </x:c>
      <x:c r="AR22" s="5">
        <x:v>1.39</x:v>
      </x:c>
      <x:c r="AS22" t="s">
        <x:v>51</x:v>
      </x:c>
      <x:c r="AT22" t="n">
        <x:f>COUNTIF(G22:N22,1)</x:f>
        <x:v>7</x:v>
      </x:c>
      <x:c r="AU22" s="5" t="n">
        <x:f>AVERAGE(AB22:AI22)</x:f>
        <x:v>4.125</x:v>
      </x:c>
      <x:c r="AV22" s="5" t="n">
        <x:f>SUMIFS($AT$2:$AT$41,$B$2:$B$41,B22,$AS$2:$AS$41,"Einschluss")/COUNTIFS($B$2:$B$41,B22,$AS$2:$AS$41,"Einschluss")</x:f>
        <x:v>5.833333333333333</x:v>
      </x:c>
      <x:c r="AW22" s="5" t="n">
        <x:f t="shared" si="11">AT22-AV22</x:f>
        <x:v>1.166666666666667</x:v>
      </x:c>
    </x:row>
    <x:row r="23">
      <x:c r="A23" s="7">
        <x:v>258</x:v>
      </x:c>
      <x:c r="B23" s="8" t="s">
        <x:v>58</x:v>
      </x:c>
      <x:c r="C23" s="9">
        <x:v>46269.583599537</x:v>
      </x:c>
      <x:c r="D23" s="7">
        <x:v>1</x:v>
      </x:c>
      <x:c r="E23" s="7">
        <x:v>1</x:v>
      </x:c>
      <x:c r="F23" s="8" t="s">
        <x:v>59</x:v>
      </x:c>
      <x:c r="G23" s="7">
        <x:v>1</x:v>
      </x:c>
      <x:c r="H23" s="7">
        <x:v>1</x:v>
      </x:c>
      <x:c r="I23" s="7">
        <x:v>3</x:v>
      </x:c>
      <x:c r="J23" s="7">
        <x:v>1</x:v>
      </x:c>
      <x:c r="K23" s="7">
        <x:v>4</x:v>
      </x:c>
      <x:c r="L23" s="7">
        <x:v>1</x:v>
      </x:c>
      <x:c r="M23" s="7">
        <x:v>4</x:v>
      </x:c>
      <x:c r="N23" s="7">
        <x:v>2</x:v>
      </x:c>
      <x:c r="O23" s="10" t="n">
        <x:f t="shared" si="0">IF(G23=1,1,0)</x:f>
        <x:v>1</x:v>
      </x:c>
      <x:c r="P23" s="10" t="n">
        <x:f t="shared" si="0">IF(H23=1,1,0)</x:f>
        <x:v>1</x:v>
      </x:c>
      <x:c r="Q23" s="10" t="n">
        <x:f t="shared" si="0">IF(I23=1,1,0)</x:f>
        <x:v>0</x:v>
      </x:c>
      <x:c r="R23" s="10" t="n">
        <x:f t="shared" si="0">IF(J23=1,1,0)</x:f>
        <x:v>1</x:v>
      </x:c>
      <x:c r="S23" s="10" t="n">
        <x:f t="shared" si="0">IF(K23=1,1,0)</x:f>
        <x:v>0</x:v>
      </x:c>
      <x:c r="T23" s="10" t="n">
        <x:f t="shared" si="0">IF(L23=1,1,0)</x:f>
        <x:v>1</x:v>
      </x:c>
      <x:c r="U23" s="10" t="n">
        <x:f t="shared" si="0">IF(M23=1,1,0)</x:f>
        <x:v>0</x:v>
      </x:c>
      <x:c r="V23" s="10" t="n">
        <x:f t="shared" si="0">IF(N23=1,1,0)</x:f>
        <x:v>0</x:v>
      </x:c>
      <x:c r="W23" s="11" t="n">
        <x:f t="shared" si="1">SUM(O23:V23)</x:f>
        <x:v>4</x:v>
      </x:c>
      <x:c r="X23" s="4" t="n">
        <x:f t="shared" si="2">SUM(O23:P23)</x:f>
        <x:v>2</x:v>
      </x:c>
      <x:c r="Y23" s="4" t="n">
        <x:f t="shared" si="3">SUM(Q23:R23)</x:f>
        <x:v>1</x:v>
      </x:c>
      <x:c r="Z23" s="4" t="n">
        <x:f t="shared" si="4">SUM(S23:T23)</x:f>
        <x:v>1</x:v>
      </x:c>
      <x:c r="AA23" s="4" t="n">
        <x:f t="shared" si="5">SUM(U23:V23)</x:f>
        <x:v>0</x:v>
      </x:c>
      <x:c r="AB23" s="7">
        <x:v>4</x:v>
      </x:c>
      <x:c r="AC23" s="7">
        <x:v>3</x:v>
      </x:c>
      <x:c r="AD23" s="7">
        <x:v>4</x:v>
      </x:c>
      <x:c r="AE23" s="7">
        <x:v>3</x:v>
      </x:c>
      <x:c r="AF23" s="7">
        <x:v>3</x:v>
      </x:c>
      <x:c r="AG23" s="7">
        <x:v>4</x:v>
      </x:c>
      <x:c r="AH23" s="7">
        <x:v>1</x:v>
      </x:c>
      <x:c r="AI23" s="7">
        <x:v>1</x:v>
      </x:c>
      <x:c r="AJ23" s="7">
        <x:v>3</x:v>
      </x:c>
      <x:c r="AK23" s="10" t="n">
        <x:f t="shared" si="6">AVERAGE(AB23:AI23)</x:f>
        <x:v>2.875</x:v>
      </x:c>
      <x:c r="AL23" s="10" t="n">
        <x:f t="shared" si="7">AVERAGE(AB23:AC23)</x:f>
        <x:v>3.5</x:v>
      </x:c>
      <x:c r="AM23" s="10" t="n">
        <x:f t="shared" si="8">AVERAGE(AD23:AE23)</x:f>
        <x:v>3.5</x:v>
      </x:c>
      <x:c r="AN23" s="10" t="n">
        <x:f t="shared" si="9">AVERAGE(AF23:AG23)</x:f>
        <x:v>3.5</x:v>
      </x:c>
      <x:c r="AO23" s="10" t="n">
        <x:f t="shared" si="10">AVERAGE(AH23:AI23)</x:f>
        <x:v>1</x:v>
      </x:c>
      <x:c r="AP23" s="8" t="s">
        <x:v>80</x:v>
      </x:c>
      <x:c r="AQ23" s="7">
        <x:v>578</x:v>
      </x:c>
      <x:c r="AR23" s="5">
        <x:v>1.25</x:v>
      </x:c>
      <x:c r="AS23" t="s">
        <x:v>51</x:v>
      </x:c>
      <x:c r="AT23" t="n">
        <x:f>COUNTIF(G23:N23,1)</x:f>
        <x:v>4</x:v>
      </x:c>
      <x:c r="AU23" s="5" t="n">
        <x:f>AVERAGE(AB23:AI23)</x:f>
        <x:v>2.875</x:v>
      </x:c>
      <x:c r="AV23" s="5" t="n">
        <x:f>SUMIFS($AT$2:$AT$41,$B$2:$B$41,B23,$AS$2:$AS$41,"Einschluss")/COUNTIFS($B$2:$B$41,B23,$AS$2:$AS$41,"Einschluss")</x:f>
        <x:v>4</x:v>
      </x:c>
      <x:c r="AW23" s="5" t="n">
        <x:f t="shared" si="11">AT23-AV23</x:f>
        <x:v>0</x:v>
      </x:c>
    </x:row>
    <x:row r="24">
      <x:c r="A24" s="7">
        <x:v>259</x:v>
      </x:c>
      <x:c r="B24" s="8" t="s">
        <x:v>58</x:v>
      </x:c>
      <x:c r="C24" s="9">
        <x:v>46269.583611110997</x:v>
      </x:c>
      <x:c r="D24" s="7">
        <x:v>1</x:v>
      </x:c>
      <x:c r="E24" s="7">
        <x:v>1</x:v>
      </x:c>
      <x:c r="F24" s="8" t="s">
        <x:v>81</x:v>
      </x:c>
      <x:c r="G24" s="7">
        <x:v>1</x:v>
      </x:c>
      <x:c r="H24" s="7">
        <x:v>1</x:v>
      </x:c>
      <x:c r="I24" s="7">
        <x:v>4</x:v>
      </x:c>
      <x:c r="J24" s="7">
        <x:v>1</x:v>
      </x:c>
      <x:c r="K24" s="7">
        <x:v>1</x:v>
      </x:c>
      <x:c r="L24" s="7">
        <x:v>1</x:v>
      </x:c>
      <x:c r="M24" s="7">
        <x:v>3</x:v>
      </x:c>
      <x:c r="N24" s="7">
        <x:v>1</x:v>
      </x:c>
      <x:c r="O24" s="10" t="n">
        <x:f t="shared" si="0">IF(G24=1,1,0)</x:f>
        <x:v>1</x:v>
      </x:c>
      <x:c r="P24" s="10" t="n">
        <x:f t="shared" si="0">IF(H24=1,1,0)</x:f>
        <x:v>1</x:v>
      </x:c>
      <x:c r="Q24" s="10" t="n">
        <x:f t="shared" si="0">IF(I24=1,1,0)</x:f>
        <x:v>0</x:v>
      </x:c>
      <x:c r="R24" s="10" t="n">
        <x:f t="shared" si="0">IF(J24=1,1,0)</x:f>
        <x:v>1</x:v>
      </x:c>
      <x:c r="S24" s="10" t="n">
        <x:f t="shared" si="0">IF(K24=1,1,0)</x:f>
        <x:v>1</x:v>
      </x:c>
      <x:c r="T24" s="10" t="n">
        <x:f t="shared" si="0">IF(L24=1,1,0)</x:f>
        <x:v>1</x:v>
      </x:c>
      <x:c r="U24" s="10" t="n">
        <x:f t="shared" si="0">IF(M24=1,1,0)</x:f>
        <x:v>0</x:v>
      </x:c>
      <x:c r="V24" s="10" t="n">
        <x:f t="shared" si="0">IF(N24=1,1,0)</x:f>
        <x:v>1</x:v>
      </x:c>
      <x:c r="W24" s="11" t="n">
        <x:f t="shared" si="1">SUM(O24:V24)</x:f>
        <x:v>6</x:v>
      </x:c>
      <x:c r="X24" s="4" t="n">
        <x:f t="shared" si="2">SUM(O24:P24)</x:f>
        <x:v>2</x:v>
      </x:c>
      <x:c r="Y24" s="4" t="n">
        <x:f t="shared" si="3">SUM(Q24:R24)</x:f>
        <x:v>1</x:v>
      </x:c>
      <x:c r="Z24" s="4" t="n">
        <x:f t="shared" si="4">SUM(S24:T24)</x:f>
        <x:v>2</x:v>
      </x:c>
      <x:c r="AA24" s="4" t="n">
        <x:f t="shared" si="5">SUM(U24:V24)</x:f>
        <x:v>1</x:v>
      </x:c>
      <x:c r="AB24" s="7">
        <x:v>4</x:v>
      </x:c>
      <x:c r="AC24" s="7">
        <x:v>2</x:v>
      </x:c>
      <x:c r="AD24" s="7">
        <x:v>5</x:v>
      </x:c>
      <x:c r="AE24" s="7">
        <x:v>4</x:v>
      </x:c>
      <x:c r="AF24" s="7">
        <x:v>5</x:v>
      </x:c>
      <x:c r="AG24" s="7">
        <x:v>5</x:v>
      </x:c>
      <x:c r="AH24" s="7">
        <x:v>1</x:v>
      </x:c>
      <x:c r="AI24" s="7">
        <x:v>4</x:v>
      </x:c>
      <x:c r="AJ24" s="7">
        <x:v>3</x:v>
      </x:c>
      <x:c r="AK24" s="10" t="n">
        <x:f t="shared" si="6">AVERAGE(AB24:AI24)</x:f>
        <x:v>3.75</x:v>
      </x:c>
      <x:c r="AL24" s="10" t="n">
        <x:f t="shared" si="7">AVERAGE(AB24:AC24)</x:f>
        <x:v>3</x:v>
      </x:c>
      <x:c r="AM24" s="10" t="n">
        <x:f t="shared" si="8">AVERAGE(AD24:AE24)</x:f>
        <x:v>4.5</x:v>
      </x:c>
      <x:c r="AN24" s="10" t="n">
        <x:f t="shared" si="9">AVERAGE(AF24:AG24)</x:f>
        <x:v>5</x:v>
      </x:c>
      <x:c r="AO24" s="10" t="n">
        <x:f t="shared" si="10">AVERAGE(AH24:AI24)</x:f>
        <x:v>2.5</x:v>
      </x:c>
      <x:c r="AP24" s="8" t="s">
        <x:v>82</x:v>
      </x:c>
      <x:c r="AQ24" s="7">
        <x:v>547</x:v>
      </x:c>
      <x:c r="AR24" s="5">
        <x:v>1.31</x:v>
      </x:c>
      <x:c r="AS24" t="s">
        <x:v>51</x:v>
      </x:c>
      <x:c r="AT24" t="n">
        <x:f>COUNTIF(G24:N24,1)</x:f>
        <x:v>6</x:v>
      </x:c>
      <x:c r="AU24" s="5" t="n">
        <x:f>AVERAGE(AB24:AI24)</x:f>
        <x:v>3.75</x:v>
      </x:c>
      <x:c r="AV24" s="5" t="n">
        <x:f>SUMIFS($AT$2:$AT$41,$B$2:$B$41,B24,$AS$2:$AS$41,"Einschluss")/COUNTIFS($B$2:$B$41,B24,$AS$2:$AS$41,"Einschluss")</x:f>
        <x:v>4</x:v>
      </x:c>
      <x:c r="AW24" s="5" t="n">
        <x:f t="shared" si="11">AT24-AV24</x:f>
        <x:v>2</x:v>
      </x:c>
    </x:row>
    <x:row r="25">
      <x:c r="A25" s="7">
        <x:v>262</x:v>
      </x:c>
      <x:c r="B25" s="8" t="s">
        <x:v>64</x:v>
      </x:c>
      <x:c r="C25" s="9">
        <x:v>46269.626469907002</x:v>
      </x:c>
      <x:c r="D25" s="7">
        <x:v>1</x:v>
      </x:c>
      <x:c r="E25" s="7">
        <x:v>1</x:v>
      </x:c>
      <x:c r="F25" s="8" t="s">
        <x:v>59</x:v>
      </x:c>
      <x:c r="G25" s="7">
        <x:v>1</x:v>
      </x:c>
      <x:c r="H25" s="7">
        <x:v>2</x:v>
      </x:c>
      <x:c r="I25" s="7">
        <x:v>1</x:v>
      </x:c>
      <x:c r="J25" s="7">
        <x:v>3</x:v>
      </x:c>
      <x:c r="K25" s="7">
        <x:v>2</x:v>
      </x:c>
      <x:c r="L25" s="7">
        <x:v>4</x:v>
      </x:c>
      <x:c r="M25" s="7">
        <x:v>3</x:v>
      </x:c>
      <x:c r="N25" s="7">
        <x:v>1</x:v>
      </x:c>
      <x:c r="O25" s="10" t="n">
        <x:f t="shared" si="0">IF(G25=1,1,0)</x:f>
        <x:v>1</x:v>
      </x:c>
      <x:c r="P25" s="10" t="n">
        <x:f t="shared" si="0">IF(H25=1,1,0)</x:f>
        <x:v>0</x:v>
      </x:c>
      <x:c r="Q25" s="10" t="n">
        <x:f t="shared" si="0">IF(I25=1,1,0)</x:f>
        <x:v>1</x:v>
      </x:c>
      <x:c r="R25" s="10" t="n">
        <x:f t="shared" si="0">IF(J25=1,1,0)</x:f>
        <x:v>0</x:v>
      </x:c>
      <x:c r="S25" s="10" t="n">
        <x:f t="shared" si="0">IF(K25=1,1,0)</x:f>
        <x:v>0</x:v>
      </x:c>
      <x:c r="T25" s="10" t="n">
        <x:f t="shared" si="0">IF(L25=1,1,0)</x:f>
        <x:v>0</x:v>
      </x:c>
      <x:c r="U25" s="10" t="n">
        <x:f t="shared" si="0">IF(M25=1,1,0)</x:f>
        <x:v>0</x:v>
      </x:c>
      <x:c r="V25" s="10" t="n">
        <x:f t="shared" si="0">IF(N25=1,1,0)</x:f>
        <x:v>1</x:v>
      </x:c>
      <x:c r="W25" s="11" t="n">
        <x:f t="shared" si="1">SUM(O25:V25)</x:f>
        <x:v>3</x:v>
      </x:c>
      <x:c r="X25" s="4" t="n">
        <x:f t="shared" si="2">SUM(O25:P25)</x:f>
        <x:v>1</x:v>
      </x:c>
      <x:c r="Y25" s="4" t="n">
        <x:f t="shared" si="3">SUM(Q25:R25)</x:f>
        <x:v>1</x:v>
      </x:c>
      <x:c r="Z25" s="4" t="n">
        <x:f t="shared" si="4">SUM(S25:T25)</x:f>
        <x:v>0</x:v>
      </x:c>
      <x:c r="AA25" s="4" t="n">
        <x:f t="shared" si="5">SUM(U25:V25)</x:f>
        <x:v>1</x:v>
      </x:c>
      <x:c r="AB25" s="7">
        <x:v>1</x:v>
      </x:c>
      <x:c r="AC25" s="7">
        <x:v>3</x:v>
      </x:c>
      <x:c r="AD25" s="7">
        <x:v>4</x:v>
      </x:c>
      <x:c r="AE25" s="7">
        <x:v>4</x:v>
      </x:c>
      <x:c r="AF25" s="7">
        <x:v>5</x:v>
      </x:c>
      <x:c r="AG25" s="7">
        <x:v>3</x:v>
      </x:c>
      <x:c r="AH25" s="7">
        <x:v>2</x:v>
      </x:c>
      <x:c r="AI25" s="7">
        <x:v>3</x:v>
      </x:c>
      <x:c r="AJ25" s="7">
        <x:v>4</x:v>
      </x:c>
      <x:c r="AK25" s="10" t="n">
        <x:f t="shared" si="6">AVERAGE(AB25:AI25)</x:f>
        <x:v>3.125</x:v>
      </x:c>
      <x:c r="AL25" s="10" t="n">
        <x:f t="shared" si="7">AVERAGE(AB25:AC25)</x:f>
        <x:v>2</x:v>
      </x:c>
      <x:c r="AM25" s="10" t="n">
        <x:f t="shared" si="8">AVERAGE(AD25:AE25)</x:f>
        <x:v>4</x:v>
      </x:c>
      <x:c r="AN25" s="10" t="n">
        <x:f t="shared" si="9">AVERAGE(AF25:AG25)</x:f>
        <x:v>4</x:v>
      </x:c>
      <x:c r="AO25" s="10" t="n">
        <x:f t="shared" si="10">AVERAGE(AH25:AI25)</x:f>
        <x:v>2.5</x:v>
      </x:c>
      <x:c r="AP25" s="8" t="s">
        <x:v>83</x:v>
      </x:c>
      <x:c r="AQ25" s="7">
        <x:v>547</x:v>
      </x:c>
      <x:c r="AR25" s="5">
        <x:v>1.33</x:v>
      </x:c>
      <x:c r="AS25" t="s">
        <x:v>51</x:v>
      </x:c>
      <x:c r="AT25" t="n">
        <x:f>COUNTIF(G25:N25,1)</x:f>
        <x:v>3</x:v>
      </x:c>
      <x:c r="AU25" s="5" t="n">
        <x:f>AVERAGE(AB25:AI25)</x:f>
        <x:v>3.125</x:v>
      </x:c>
      <x:c r="AV25" s="5" t="n">
        <x:f>SUMIFS($AT$2:$AT$41,$B$2:$B$41,B25,$AS$2:$AS$41,"Einschluss")/COUNTIFS($B$2:$B$41,B25,$AS$2:$AS$41,"Einschluss")</x:f>
        <x:v>5.833333333333333</x:v>
      </x:c>
      <x:c r="AW25" s="5" t="n">
        <x:f t="shared" si="11">AT25-AV25</x:f>
        <x:v>-2.833333333333333</x:v>
      </x:c>
    </x:row>
    <x:row r="26">
      <x:c r="A26" s="7">
        <x:v>263</x:v>
      </x:c>
      <x:c r="B26" s="8" t="s">
        <x:v>64</x:v>
      </x:c>
      <x:c r="C26" s="9">
        <x:v>46269.626550925997</x:v>
      </x:c>
      <x:c r="D26" s="7">
        <x:v>1</x:v>
      </x:c>
      <x:c r="E26" s="7">
        <x:v>2</x:v>
      </x:c>
      <x:c r="F26" s="8"/>
      <x:c r="G26" s="7">
        <x:v>1</x:v>
      </x:c>
      <x:c r="H26" s="7">
        <x:v>4</x:v>
      </x:c>
      <x:c r="I26" s="7">
        <x:v>1</x:v>
      </x:c>
      <x:c r="J26" s="7">
        <x:v>2</x:v>
      </x:c>
      <x:c r="K26" s="7">
        <x:v>2</x:v>
      </x:c>
      <x:c r="L26" s="7">
        <x:v>1</x:v>
      </x:c>
      <x:c r="M26" s="7">
        <x:v>2</x:v>
      </x:c>
      <x:c r="N26" s="7">
        <x:v>3</x:v>
      </x:c>
      <x:c r="O26" s="10" t="n">
        <x:f t="shared" si="0">IF(G26=1,1,0)</x:f>
        <x:v>1</x:v>
      </x:c>
      <x:c r="P26" s="10" t="n">
        <x:f t="shared" si="0">IF(H26=1,1,0)</x:f>
        <x:v>0</x:v>
      </x:c>
      <x:c r="Q26" s="10" t="n">
        <x:f t="shared" si="0">IF(I26=1,1,0)</x:f>
        <x:v>1</x:v>
      </x:c>
      <x:c r="R26" s="10" t="n">
        <x:f t="shared" si="0">IF(J26=1,1,0)</x:f>
        <x:v>0</x:v>
      </x:c>
      <x:c r="S26" s="10" t="n">
        <x:f t="shared" si="0">IF(K26=1,1,0)</x:f>
        <x:v>0</x:v>
      </x:c>
      <x:c r="T26" s="10" t="n">
        <x:f t="shared" si="0">IF(L26=1,1,0)</x:f>
        <x:v>1</x:v>
      </x:c>
      <x:c r="U26" s="10" t="n">
        <x:f t="shared" si="0">IF(M26=1,1,0)</x:f>
        <x:v>0</x:v>
      </x:c>
      <x:c r="V26" s="10" t="n">
        <x:f t="shared" si="0">IF(N26=1,1,0)</x:f>
        <x:v>0</x:v>
      </x:c>
      <x:c r="W26" s="11" t="n">
        <x:f t="shared" si="1">SUM(O26:V26)</x:f>
        <x:v>3</x:v>
      </x:c>
      <x:c r="X26" s="4" t="n">
        <x:f t="shared" si="2">SUM(O26:P26)</x:f>
        <x:v>1</x:v>
      </x:c>
      <x:c r="Y26" s="4" t="n">
        <x:f t="shared" si="3">SUM(Q26:R26)</x:f>
        <x:v>1</x:v>
      </x:c>
      <x:c r="Z26" s="4" t="n">
        <x:f t="shared" si="4">SUM(S26:T26)</x:f>
        <x:v>1</x:v>
      </x:c>
      <x:c r="AA26" s="4" t="n">
        <x:f t="shared" si="5">SUM(U26:V26)</x:f>
        <x:v>0</x:v>
      </x:c>
      <x:c r="AB26" s="7">
        <x:v>5</x:v>
      </x:c>
      <x:c r="AC26" s="7">
        <x:v>4</x:v>
      </x:c>
      <x:c r="AD26" s="7">
        <x:v>4</x:v>
      </x:c>
      <x:c r="AE26" s="7">
        <x:v>5</x:v>
      </x:c>
      <x:c r="AF26" s="7">
        <x:v>4</x:v>
      </x:c>
      <x:c r="AG26" s="7">
        <x:v>3</x:v>
      </x:c>
      <x:c r="AH26" s="7">
        <x:v>2</x:v>
      </x:c>
      <x:c r="AI26" s="7">
        <x:v>3</x:v>
      </x:c>
      <x:c r="AJ26" s="7">
        <x:v>4</x:v>
      </x:c>
      <x:c r="AK26" s="10" t="n">
        <x:f t="shared" si="6">AVERAGE(AB26:AI26)</x:f>
        <x:v>3.75</x:v>
      </x:c>
      <x:c r="AL26" s="10" t="n">
        <x:f t="shared" si="7">AVERAGE(AB26:AC26)</x:f>
        <x:v>4.5</x:v>
      </x:c>
      <x:c r="AM26" s="10" t="n">
        <x:f t="shared" si="8">AVERAGE(AD26:AE26)</x:f>
        <x:v>4.5</x:v>
      </x:c>
      <x:c r="AN26" s="10" t="n">
        <x:f t="shared" si="9">AVERAGE(AF26:AG26)</x:f>
        <x:v>3.5</x:v>
      </x:c>
      <x:c r="AO26" s="10" t="n">
        <x:f t="shared" si="10">AVERAGE(AH26:AI26)</x:f>
        <x:v>2.5</x:v>
      </x:c>
      <x:c r="AP26" s="8" t="s">
        <x:v>84</x:v>
      </x:c>
      <x:c r="AQ26" s="7">
        <x:v>552</x:v>
      </x:c>
      <x:c r="AR26" s="5">
        <x:v>1.1499999999999999</x:v>
      </x:c>
      <x:c r="AS26" t="s">
        <x:v>51</x:v>
      </x:c>
      <x:c r="AT26" t="n">
        <x:f>COUNTIF(G26:N26,1)</x:f>
        <x:v>3</x:v>
      </x:c>
      <x:c r="AU26" s="5" t="n">
        <x:f>AVERAGE(AB26:AI26)</x:f>
        <x:v>3.75</x:v>
      </x:c>
      <x:c r="AV26" s="5" t="n">
        <x:f>SUMIFS($AT$2:$AT$41,$B$2:$B$41,B26,$AS$2:$AS$41,"Einschluss")/COUNTIFS($B$2:$B$41,B26,$AS$2:$AS$41,"Einschluss")</x:f>
        <x:v>5.833333333333333</x:v>
      </x:c>
      <x:c r="AW26" s="5" t="n">
        <x:f t="shared" si="11">AT26-AV26</x:f>
        <x:v>-2.833333333333333</x:v>
      </x:c>
    </x:row>
    <x:row r="27">
      <x:c r="A27" s="7">
        <x:v>264</x:v>
      </x:c>
      <x:c r="B27" s="8" t="s">
        <x:v>64</x:v>
      </x:c>
      <x:c r="C27" s="9">
        <x:v>46269.636793981001</x:v>
      </x:c>
      <x:c r="D27" s="7">
        <x:v>1</x:v>
      </x:c>
      <x:c r="E27" s="7">
        <x:v>1</x:v>
      </x:c>
      <x:c r="F27" s="8" t="s">
        <x:v>85</x:v>
      </x:c>
      <x:c r="G27" s="7">
        <x:v>1</x:v>
      </x:c>
      <x:c r="H27" s="7">
        <x:v>1</x:v>
      </x:c>
      <x:c r="I27" s="7">
        <x:v>3</x:v>
      </x:c>
      <x:c r="J27" s="7">
        <x:v>1</x:v>
      </x:c>
      <x:c r="K27" s="7">
        <x:v>1</x:v>
      </x:c>
      <x:c r="L27" s="7">
        <x:v>1</x:v>
      </x:c>
      <x:c r="M27" s="7">
        <x:v>3</x:v>
      </x:c>
      <x:c r="N27" s="7">
        <x:v>1</x:v>
      </x:c>
      <x:c r="O27" s="10" t="n">
        <x:f t="shared" si="0">IF(G27=1,1,0)</x:f>
        <x:v>1</x:v>
      </x:c>
      <x:c r="P27" s="10" t="n">
        <x:f t="shared" si="0">IF(H27=1,1,0)</x:f>
        <x:v>1</x:v>
      </x:c>
      <x:c r="Q27" s="10" t="n">
        <x:f t="shared" si="0">IF(I27=1,1,0)</x:f>
        <x:v>0</x:v>
      </x:c>
      <x:c r="R27" s="10" t="n">
        <x:f t="shared" si="0">IF(J27=1,1,0)</x:f>
        <x:v>1</x:v>
      </x:c>
      <x:c r="S27" s="10" t="n">
        <x:f t="shared" si="0">IF(K27=1,1,0)</x:f>
        <x:v>1</x:v>
      </x:c>
      <x:c r="T27" s="10" t="n">
        <x:f t="shared" si="0">IF(L27=1,1,0)</x:f>
        <x:v>1</x:v>
      </x:c>
      <x:c r="U27" s="10" t="n">
        <x:f t="shared" si="0">IF(M27=1,1,0)</x:f>
        <x:v>0</x:v>
      </x:c>
      <x:c r="V27" s="10" t="n">
        <x:f t="shared" si="0">IF(N27=1,1,0)</x:f>
        <x:v>1</x:v>
      </x:c>
      <x:c r="W27" s="11" t="n">
        <x:f t="shared" si="1">SUM(O27:V27)</x:f>
        <x:v>6</x:v>
      </x:c>
      <x:c r="X27" s="4" t="n">
        <x:f t="shared" si="2">SUM(O27:P27)</x:f>
        <x:v>2</x:v>
      </x:c>
      <x:c r="Y27" s="4" t="n">
        <x:f t="shared" si="3">SUM(Q27:R27)</x:f>
        <x:v>1</x:v>
      </x:c>
      <x:c r="Z27" s="4" t="n">
        <x:f t="shared" si="4">SUM(S27:T27)</x:f>
        <x:v>2</x:v>
      </x:c>
      <x:c r="AA27" s="4" t="n">
        <x:f t="shared" si="5">SUM(U27:V27)</x:f>
        <x:v>1</x:v>
      </x:c>
      <x:c r="AB27" s="7">
        <x:v>4</x:v>
      </x:c>
      <x:c r="AC27" s="7">
        <x:v>4</x:v>
      </x:c>
      <x:c r="AD27" s="7">
        <x:v>4</x:v>
      </x:c>
      <x:c r="AE27" s="7">
        <x:v>3</x:v>
      </x:c>
      <x:c r="AF27" s="7">
        <x:v>5</x:v>
      </x:c>
      <x:c r="AG27" s="7">
        <x:v>4</x:v>
      </x:c>
      <x:c r="AH27" s="7">
        <x:v>3</x:v>
      </x:c>
      <x:c r="AI27" s="7">
        <x:v>4</x:v>
      </x:c>
      <x:c r="AJ27" s="7">
        <x:v>3</x:v>
      </x:c>
      <x:c r="AK27" s="10" t="n">
        <x:f t="shared" si="6">AVERAGE(AB27:AI27)</x:f>
        <x:v>3.875</x:v>
      </x:c>
      <x:c r="AL27" s="10" t="n">
        <x:f t="shared" si="7">AVERAGE(AB27:AC27)</x:f>
        <x:v>4</x:v>
      </x:c>
      <x:c r="AM27" s="10" t="n">
        <x:f t="shared" si="8">AVERAGE(AD27:AE27)</x:f>
        <x:v>3.5</x:v>
      </x:c>
      <x:c r="AN27" s="10" t="n">
        <x:f t="shared" si="9">AVERAGE(AF27:AG27)</x:f>
        <x:v>4.5</x:v>
      </x:c>
      <x:c r="AO27" s="10" t="n">
        <x:f t="shared" si="10">AVERAGE(AH27:AI27)</x:f>
        <x:v>3.5</x:v>
      </x:c>
      <x:c r="AP27" s="8" t="s">
        <x:v>86</x:v>
      </x:c>
      <x:c r="AQ27" s="7">
        <x:v>657</x:v>
      </x:c>
      <x:c r="AR27" s="5">
        <x:v>0.81</x:v>
      </x:c>
      <x:c r="AS27" t="s">
        <x:v>51</x:v>
      </x:c>
      <x:c r="AT27" t="n">
        <x:f>COUNTIF(G27:N27,1)</x:f>
        <x:v>6</x:v>
      </x:c>
      <x:c r="AU27" s="5" t="n">
        <x:f>AVERAGE(AB27:AI27)</x:f>
        <x:v>3.875</x:v>
      </x:c>
      <x:c r="AV27" s="5" t="n">
        <x:f>SUMIFS($AT$2:$AT$41,$B$2:$B$41,B27,$AS$2:$AS$41,"Einschluss")/COUNTIFS($B$2:$B$41,B27,$AS$2:$AS$41,"Einschluss")</x:f>
        <x:v>5.833333333333333</x:v>
      </x:c>
      <x:c r="AW27" s="5" t="n">
        <x:f t="shared" si="11">AT27-AV27</x:f>
        <x:v>0.16666666666666696</x:v>
      </x:c>
    </x:row>
    <x:row r="28">
      <x:c r="A28" s="7">
        <x:v>265</x:v>
      </x:c>
      <x:c r="B28" s="8" t="s">
        <x:v>64</x:v>
      </x:c>
      <x:c r="C28" s="9">
        <x:v>46269.644375000003</x:v>
      </x:c>
      <x:c r="D28" s="7">
        <x:v>1</x:v>
      </x:c>
      <x:c r="E28" s="7">
        <x:v>1</x:v>
      </x:c>
      <x:c r="F28" s="8"/>
      <x:c r="G28" s="7">
        <x:v>1</x:v>
      </x:c>
      <x:c r="H28" s="7">
        <x:v>1</x:v>
      </x:c>
      <x:c r="I28" s="7">
        <x:v>4</x:v>
      </x:c>
      <x:c r="J28" s="7">
        <x:v>1</x:v>
      </x:c>
      <x:c r="K28" s="7">
        <x:v>1</x:v>
      </x:c>
      <x:c r="L28" s="7">
        <x:v>1</x:v>
      </x:c>
      <x:c r="M28" s="7">
        <x:v>3</x:v>
      </x:c>
      <x:c r="N28" s="7">
        <x:v>1</x:v>
      </x:c>
      <x:c r="O28" s="10" t="n">
        <x:f t="shared" si="0">IF(G28=1,1,0)</x:f>
        <x:v>1</x:v>
      </x:c>
      <x:c r="P28" s="10" t="n">
        <x:f t="shared" si="0">IF(H28=1,1,0)</x:f>
        <x:v>1</x:v>
      </x:c>
      <x:c r="Q28" s="10" t="n">
        <x:f t="shared" si="0">IF(I28=1,1,0)</x:f>
        <x:v>0</x:v>
      </x:c>
      <x:c r="R28" s="10" t="n">
        <x:f t="shared" si="0">IF(J28=1,1,0)</x:f>
        <x:v>1</x:v>
      </x:c>
      <x:c r="S28" s="10" t="n">
        <x:f t="shared" si="0">IF(K28=1,1,0)</x:f>
        <x:v>1</x:v>
      </x:c>
      <x:c r="T28" s="10" t="n">
        <x:f t="shared" si="0">IF(L28=1,1,0)</x:f>
        <x:v>1</x:v>
      </x:c>
      <x:c r="U28" s="10" t="n">
        <x:f t="shared" si="0">IF(M28=1,1,0)</x:f>
        <x:v>0</x:v>
      </x:c>
      <x:c r="V28" s="10" t="n">
        <x:f t="shared" si="0">IF(N28=1,1,0)</x:f>
        <x:v>1</x:v>
      </x:c>
      <x:c r="W28" s="11" t="n">
        <x:f t="shared" si="1">SUM(O28:V28)</x:f>
        <x:v>6</x:v>
      </x:c>
      <x:c r="X28" s="4" t="n">
        <x:f t="shared" si="2">SUM(O28:P28)</x:f>
        <x:v>2</x:v>
      </x:c>
      <x:c r="Y28" s="4" t="n">
        <x:f t="shared" si="3">SUM(Q28:R28)</x:f>
        <x:v>1</x:v>
      </x:c>
      <x:c r="Z28" s="4" t="n">
        <x:f t="shared" si="4">SUM(S28:T28)</x:f>
        <x:v>2</x:v>
      </x:c>
      <x:c r="AA28" s="4" t="n">
        <x:f t="shared" si="5">SUM(U28:V28)</x:f>
        <x:v>1</x:v>
      </x:c>
      <x:c r="AB28" s="7">
        <x:v>5</x:v>
      </x:c>
      <x:c r="AC28" s="7">
        <x:v>4</x:v>
      </x:c>
      <x:c r="AD28" s="7">
        <x:v>4</x:v>
      </x:c>
      <x:c r="AE28" s="7">
        <x:v>3</x:v>
      </x:c>
      <x:c r="AF28" s="7">
        <x:v>3</x:v>
      </x:c>
      <x:c r="AG28" s="7">
        <x:v>3</x:v>
      </x:c>
      <x:c r="AH28" s="7">
        <x:v>3</x:v>
      </x:c>
      <x:c r="AI28" s="7">
        <x:v>5</x:v>
      </x:c>
      <x:c r="AJ28" s="7">
        <x:v>2</x:v>
      </x:c>
      <x:c r="AK28" s="10" t="n">
        <x:f t="shared" si="6">AVERAGE(AB28:AI28)</x:f>
        <x:v>3.75</x:v>
      </x:c>
      <x:c r="AL28" s="10" t="n">
        <x:f t="shared" si="7">AVERAGE(AB28:AC28)</x:f>
        <x:v>4.5</x:v>
      </x:c>
      <x:c r="AM28" s="10" t="n">
        <x:f t="shared" si="8">AVERAGE(AD28:AE28)</x:f>
        <x:v>3.5</x:v>
      </x:c>
      <x:c r="AN28" s="10" t="n">
        <x:f t="shared" si="9">AVERAGE(AF28:AG28)</x:f>
        <x:v>3</x:v>
      </x:c>
      <x:c r="AO28" s="10" t="n">
        <x:f t="shared" si="10">AVERAGE(AH28:AI28)</x:f>
        <x:v>4</x:v>
      </x:c>
      <x:c r="AP28" s="8"/>
      <x:c r="AQ28" s="7">
        <x:v>795</x:v>
      </x:c>
      <x:c r="AR28" s="5">
        <x:v>1.03</x:v>
      </x:c>
      <x:c r="AS28" t="s">
        <x:v>51</x:v>
      </x:c>
      <x:c r="AT28" t="n">
        <x:f>COUNTIF(G28:N28,1)</x:f>
        <x:v>6</x:v>
      </x:c>
      <x:c r="AU28" s="5" t="n">
        <x:f>AVERAGE(AB28:AI28)</x:f>
        <x:v>3.75</x:v>
      </x:c>
      <x:c r="AV28" s="5" t="n">
        <x:f>SUMIFS($AT$2:$AT$41,$B$2:$B$41,B28,$AS$2:$AS$41,"Einschluss")/COUNTIFS($B$2:$B$41,B28,$AS$2:$AS$41,"Einschluss")</x:f>
        <x:v>5.833333333333333</x:v>
      </x:c>
      <x:c r="AW28" s="5" t="n">
        <x:f t="shared" si="11">AT28-AV28</x:f>
        <x:v>0.16666666666666696</x:v>
      </x:c>
    </x:row>
    <x:row r="29">
      <x:c r="A29" s="7">
        <x:v>266</x:v>
      </x:c>
      <x:c r="B29" s="8" t="s">
        <x:v>64</x:v>
      </x:c>
      <x:c r="C29" s="9">
        <x:v>46269.665659721999</x:v>
      </x:c>
      <x:c r="D29" s="7">
        <x:v>1</x:v>
      </x:c>
      <x:c r="E29" s="7">
        <x:v>1</x:v>
      </x:c>
      <x:c r="F29" s="8" t="s">
        <x:v>87</x:v>
      </x:c>
      <x:c r="G29" s="7">
        <x:v>1</x:v>
      </x:c>
      <x:c r="H29" s="7">
        <x:v>1</x:v>
      </x:c>
      <x:c r="I29" s="7">
        <x:v>1</x:v>
      </x:c>
      <x:c r="J29" s="7">
        <x:v>1</x:v>
      </x:c>
      <x:c r="K29" s="7">
        <x:v>1</x:v>
      </x:c>
      <x:c r="L29" s="7">
        <x:v>1</x:v>
      </x:c>
      <x:c r="M29" s="7">
        <x:v>2</x:v>
      </x:c>
      <x:c r="N29" s="7">
        <x:v>1</x:v>
      </x:c>
      <x:c r="O29" s="10" t="n">
        <x:f t="shared" si="0">IF(G29=1,1,0)</x:f>
        <x:v>1</x:v>
      </x:c>
      <x:c r="P29" s="10" t="n">
        <x:f t="shared" si="0">IF(H29=1,1,0)</x:f>
        <x:v>1</x:v>
      </x:c>
      <x:c r="Q29" s="10" t="n">
        <x:f t="shared" si="0">IF(I29=1,1,0)</x:f>
        <x:v>1</x:v>
      </x:c>
      <x:c r="R29" s="10" t="n">
        <x:f t="shared" si="0">IF(J29=1,1,0)</x:f>
        <x:v>1</x:v>
      </x:c>
      <x:c r="S29" s="10" t="n">
        <x:f t="shared" si="0">IF(K29=1,1,0)</x:f>
        <x:v>1</x:v>
      </x:c>
      <x:c r="T29" s="10" t="n">
        <x:f t="shared" si="0">IF(L29=1,1,0)</x:f>
        <x:v>1</x:v>
      </x:c>
      <x:c r="U29" s="10" t="n">
        <x:f t="shared" si="0">IF(M29=1,1,0)</x:f>
        <x:v>0</x:v>
      </x:c>
      <x:c r="V29" s="10" t="n">
        <x:f t="shared" si="0">IF(N29=1,1,0)</x:f>
        <x:v>1</x:v>
      </x:c>
      <x:c r="W29" s="11" t="n">
        <x:f t="shared" si="1">SUM(O29:V29)</x:f>
        <x:v>7</x:v>
      </x:c>
      <x:c r="X29" s="4" t="n">
        <x:f t="shared" si="2">SUM(O29:P29)</x:f>
        <x:v>2</x:v>
      </x:c>
      <x:c r="Y29" s="4" t="n">
        <x:f t="shared" si="3">SUM(Q29:R29)</x:f>
        <x:v>2</x:v>
      </x:c>
      <x:c r="Z29" s="4" t="n">
        <x:f t="shared" si="4">SUM(S29:T29)</x:f>
        <x:v>2</x:v>
      </x:c>
      <x:c r="AA29" s="4" t="n">
        <x:f t="shared" si="5">SUM(U29:V29)</x:f>
        <x:v>1</x:v>
      </x:c>
      <x:c r="AB29" s="7">
        <x:v>4</x:v>
      </x:c>
      <x:c r="AC29" s="7">
        <x:v>5</x:v>
      </x:c>
      <x:c r="AD29" s="7">
        <x:v>4</x:v>
      </x:c>
      <x:c r="AE29" s="7">
        <x:v>3</x:v>
      </x:c>
      <x:c r="AF29" s="7">
        <x:v>5</x:v>
      </x:c>
      <x:c r="AG29" s="7">
        <x:v>5</x:v>
      </x:c>
      <x:c r="AH29" s="7">
        <x:v>5</x:v>
      </x:c>
      <x:c r="AI29" s="7">
        <x:v>4</x:v>
      </x:c>
      <x:c r="AJ29" s="7">
        <x:v>5</x:v>
      </x:c>
      <x:c r="AK29" s="10" t="n">
        <x:f t="shared" si="6">AVERAGE(AB29:AI29)</x:f>
        <x:v>4.375</x:v>
      </x:c>
      <x:c r="AL29" s="10" t="n">
        <x:f t="shared" si="7">AVERAGE(AB29:AC29)</x:f>
        <x:v>4.5</x:v>
      </x:c>
      <x:c r="AM29" s="10" t="n">
        <x:f t="shared" si="8">AVERAGE(AD29:AE29)</x:f>
        <x:v>3.5</x:v>
      </x:c>
      <x:c r="AN29" s="10" t="n">
        <x:f t="shared" si="9">AVERAGE(AF29:AG29)</x:f>
        <x:v>5</x:v>
      </x:c>
      <x:c r="AO29" s="10" t="n">
        <x:f t="shared" si="10">AVERAGE(AH29:AI29)</x:f>
        <x:v>4.5</x:v>
      </x:c>
      <x:c r="AP29" s="8" t="s">
        <x:v>88</x:v>
      </x:c>
      <x:c r="AQ29" s="7">
        <x:v>726</x:v>
      </x:c>
      <x:c r="AR29" s="5">
        <x:v>1.1599999999999999</x:v>
      </x:c>
      <x:c r="AS29" t="s">
        <x:v>51</x:v>
      </x:c>
      <x:c r="AT29" t="n">
        <x:f>COUNTIF(G29:N29,1)</x:f>
        <x:v>7</x:v>
      </x:c>
      <x:c r="AU29" s="5" t="n">
        <x:f>AVERAGE(AB29:AI29)</x:f>
        <x:v>4.375</x:v>
      </x:c>
      <x:c r="AV29" s="5" t="n">
        <x:f>SUMIFS($AT$2:$AT$41,$B$2:$B$41,B29,$AS$2:$AS$41,"Einschluss")/COUNTIFS($B$2:$B$41,B29,$AS$2:$AS$41,"Einschluss")</x:f>
        <x:v>5.833333333333333</x:v>
      </x:c>
      <x:c r="AW29" s="5" t="n">
        <x:f t="shared" si="11">AT29-AV29</x:f>
        <x:v>1.166666666666667</x:v>
      </x:c>
    </x:row>
    <x:row r="30">
      <x:c r="A30" s="7">
        <x:v>271</x:v>
      </x:c>
      <x:c r="B30" s="8" t="s">
        <x:v>49</x:v>
      </x:c>
      <x:c r="C30" s="9">
        <x:v>46273.595844907002</x:v>
      </x:c>
      <x:c r="D30" s="7">
        <x:v>1</x:v>
      </x:c>
      <x:c r="E30" s="7">
        <x:v>1</x:v>
      </x:c>
      <x:c r="F30" s="8"/>
      <x:c r="G30" s="7">
        <x:v>1</x:v>
      </x:c>
      <x:c r="H30" s="7">
        <x:v>3</x:v>
      </x:c>
      <x:c r="I30" s="7">
        <x:v>1</x:v>
      </x:c>
      <x:c r="J30" s="7">
        <x:v>1</x:v>
      </x:c>
      <x:c r="K30" s="7">
        <x:v>1</x:v>
      </x:c>
      <x:c r="L30" s="7">
        <x:v>1</x:v>
      </x:c>
      <x:c r="M30" s="7">
        <x:v>4</x:v>
      </x:c>
      <x:c r="N30" s="7">
        <x:v>1</x:v>
      </x:c>
      <x:c r="O30" s="10" t="n">
        <x:f t="shared" si="0">IF(G30=1,1,0)</x:f>
        <x:v>1</x:v>
      </x:c>
      <x:c r="P30" s="10" t="n">
        <x:f t="shared" si="0">IF(H30=1,1,0)</x:f>
        <x:v>0</x:v>
      </x:c>
      <x:c r="Q30" s="10" t="n">
        <x:f t="shared" si="0">IF(I30=1,1,0)</x:f>
        <x:v>1</x:v>
      </x:c>
      <x:c r="R30" s="10" t="n">
        <x:f t="shared" si="0">IF(J30=1,1,0)</x:f>
        <x:v>1</x:v>
      </x:c>
      <x:c r="S30" s="10" t="n">
        <x:f t="shared" si="0">IF(K30=1,1,0)</x:f>
        <x:v>1</x:v>
      </x:c>
      <x:c r="T30" s="10" t="n">
        <x:f t="shared" si="0">IF(L30=1,1,0)</x:f>
        <x:v>1</x:v>
      </x:c>
      <x:c r="U30" s="10" t="n">
        <x:f t="shared" si="0">IF(M30=1,1,0)</x:f>
        <x:v>0</x:v>
      </x:c>
      <x:c r="V30" s="10" t="n">
        <x:f t="shared" si="0">IF(N30=1,1,0)</x:f>
        <x:v>1</x:v>
      </x:c>
      <x:c r="W30" s="11" t="n">
        <x:f t="shared" si="1">SUM(O30:V30)</x:f>
        <x:v>6</x:v>
      </x:c>
      <x:c r="X30" s="4" t="n">
        <x:f t="shared" si="2">SUM(O30:P30)</x:f>
        <x:v>1</x:v>
      </x:c>
      <x:c r="Y30" s="4" t="n">
        <x:f t="shared" si="3">SUM(Q30:R30)</x:f>
        <x:v>2</x:v>
      </x:c>
      <x:c r="Z30" s="4" t="n">
        <x:f t="shared" si="4">SUM(S30:T30)</x:f>
        <x:v>2</x:v>
      </x:c>
      <x:c r="AA30" s="4" t="n">
        <x:f t="shared" si="5">SUM(U30:V30)</x:f>
        <x:v>1</x:v>
      </x:c>
      <x:c r="AB30" s="7">
        <x:v>4</x:v>
      </x:c>
      <x:c r="AC30" s="7">
        <x:v>3</x:v>
      </x:c>
      <x:c r="AD30" s="7">
        <x:v>4</x:v>
      </x:c>
      <x:c r="AE30" s="7">
        <x:v>4</x:v>
      </x:c>
      <x:c r="AF30" s="7">
        <x:v>4</x:v>
      </x:c>
      <x:c r="AG30" s="7">
        <x:v>3</x:v>
      </x:c>
      <x:c r="AH30" s="7">
        <x:v>3</x:v>
      </x:c>
      <x:c r="AI30" s="7">
        <x:v>2</x:v>
      </x:c>
      <x:c r="AJ30" s="7">
        <x:v>4</x:v>
      </x:c>
      <x:c r="AK30" s="10" t="n">
        <x:f t="shared" si="6">AVERAGE(AB30:AI30)</x:f>
        <x:v>3.375</x:v>
      </x:c>
      <x:c r="AL30" s="10" t="n">
        <x:f t="shared" si="7">AVERAGE(AB30:AC30)</x:f>
        <x:v>3.5</x:v>
      </x:c>
      <x:c r="AM30" s="10" t="n">
        <x:f t="shared" si="8">AVERAGE(AD30:AE30)</x:f>
        <x:v>4</x:v>
      </x:c>
      <x:c r="AN30" s="10" t="n">
        <x:f t="shared" si="9">AVERAGE(AF30:AG30)</x:f>
        <x:v>3.5</x:v>
      </x:c>
      <x:c r="AO30" s="10" t="n">
        <x:f t="shared" si="10">AVERAGE(AH30:AI30)</x:f>
        <x:v>2.5</x:v>
      </x:c>
      <x:c r="AP30" s="8"/>
      <x:c r="AQ30" s="7">
        <x:v>696</x:v>
      </x:c>
      <x:c r="AR30" s="5">
        <x:v>1.1399999999999999</x:v>
      </x:c>
      <x:c r="AS30" t="s">
        <x:v>51</x:v>
      </x:c>
      <x:c r="AT30" t="n">
        <x:f>COUNTIF(G30:N30,1)</x:f>
        <x:v>6</x:v>
      </x:c>
      <x:c r="AU30" s="5" t="n">
        <x:f>AVERAGE(AB30:AI30)</x:f>
        <x:v>3.375</x:v>
      </x:c>
      <x:c r="AV30" s="5" t="n">
        <x:f>SUMIFS($AT$2:$AT$41,$B$2:$B$41,B30,$AS$2:$AS$41,"Einschluss")/COUNTIFS($B$2:$B$41,B30,$AS$2:$AS$41,"Einschluss")</x:f>
        <x:v>4.75</x:v>
      </x:c>
      <x:c r="AW30" s="5" t="n">
        <x:f t="shared" si="11">AT30-AV30</x:f>
        <x:v>1.25</x:v>
      </x:c>
    </x:row>
    <x:row r="31">
      <x:c r="A31" s="7">
        <x:v>272</x:v>
      </x:c>
      <x:c r="B31" s="8" t="s">
        <x:v>49</x:v>
      </x:c>
      <x:c r="C31" s="9">
        <x:v>46273.597453704002</x:v>
      </x:c>
      <x:c r="D31" s="7">
        <x:v>1</x:v>
      </x:c>
      <x:c r="E31" s="7">
        <x:v>1</x:v>
      </x:c>
      <x:c r="F31" s="8"/>
      <x:c r="G31" s="7">
        <x:v>1</x:v>
      </x:c>
      <x:c r="H31" s="7">
        <x:v>1</x:v>
      </x:c>
      <x:c r="I31" s="7">
        <x:v>2</x:v>
      </x:c>
      <x:c r="J31" s="7">
        <x:v>4</x:v>
      </x:c>
      <x:c r="K31" s="7">
        <x:v>1</x:v>
      </x:c>
      <x:c r="L31" s="7">
        <x:v>1</x:v>
      </x:c>
      <x:c r="M31" s="7">
        <x:v>3</x:v>
      </x:c>
      <x:c r="N31" s="7">
        <x:v>3</x:v>
      </x:c>
      <x:c r="O31" s="10" t="n">
        <x:f t="shared" si="0">IF(G31=1,1,0)</x:f>
        <x:v>1</x:v>
      </x:c>
      <x:c r="P31" s="10" t="n">
        <x:f t="shared" si="0">IF(H31=1,1,0)</x:f>
        <x:v>1</x:v>
      </x:c>
      <x:c r="Q31" s="10" t="n">
        <x:f t="shared" si="0">IF(I31=1,1,0)</x:f>
        <x:v>0</x:v>
      </x:c>
      <x:c r="R31" s="10" t="n">
        <x:f t="shared" si="0">IF(J31=1,1,0)</x:f>
        <x:v>0</x:v>
      </x:c>
      <x:c r="S31" s="10" t="n">
        <x:f t="shared" si="0">IF(K31=1,1,0)</x:f>
        <x:v>1</x:v>
      </x:c>
      <x:c r="T31" s="10" t="n">
        <x:f t="shared" si="0">IF(L31=1,1,0)</x:f>
        <x:v>1</x:v>
      </x:c>
      <x:c r="U31" s="10" t="n">
        <x:f t="shared" si="0">IF(M31=1,1,0)</x:f>
        <x:v>0</x:v>
      </x:c>
      <x:c r="V31" s="10" t="n">
        <x:f t="shared" si="0">IF(N31=1,1,0)</x:f>
        <x:v>0</x:v>
      </x:c>
      <x:c r="W31" s="11" t="n">
        <x:f t="shared" si="1">SUM(O31:V31)</x:f>
        <x:v>4</x:v>
      </x:c>
      <x:c r="X31" s="4" t="n">
        <x:f t="shared" si="2">SUM(O31:P31)</x:f>
        <x:v>2</x:v>
      </x:c>
      <x:c r="Y31" s="4" t="n">
        <x:f t="shared" si="3">SUM(Q31:R31)</x:f>
        <x:v>0</x:v>
      </x:c>
      <x:c r="Z31" s="4" t="n">
        <x:f t="shared" si="4">SUM(S31:T31)</x:f>
        <x:v>2</x:v>
      </x:c>
      <x:c r="AA31" s="4" t="n">
        <x:f t="shared" si="5">SUM(U31:V31)</x:f>
        <x:v>0</x:v>
      </x:c>
      <x:c r="AB31" s="7">
        <x:v>4</x:v>
      </x:c>
      <x:c r="AC31" s="7">
        <x:v>3</x:v>
      </x:c>
      <x:c r="AD31" s="7">
        <x:v>4</x:v>
      </x:c>
      <x:c r="AE31" s="7">
        <x:v>2</x:v>
      </x:c>
      <x:c r="AF31" s="7">
        <x:v>5</x:v>
      </x:c>
      <x:c r="AG31" s="7">
        <x:v>4</x:v>
      </x:c>
      <x:c r="AH31" s="7">
        <x:v>2</x:v>
      </x:c>
      <x:c r="AI31" s="7">
        <x:v>1</x:v>
      </x:c>
      <x:c r="AJ31" s="7">
        <x:v>4</x:v>
      </x:c>
      <x:c r="AK31" s="10" t="n">
        <x:f t="shared" si="6">AVERAGE(AB31:AI31)</x:f>
        <x:v>3.125</x:v>
      </x:c>
      <x:c r="AL31" s="10" t="n">
        <x:f t="shared" si="7">AVERAGE(AB31:AC31)</x:f>
        <x:v>3.5</x:v>
      </x:c>
      <x:c r="AM31" s="10" t="n">
        <x:f t="shared" si="8">AVERAGE(AD31:AE31)</x:f>
        <x:v>3</x:v>
      </x:c>
      <x:c r="AN31" s="10" t="n">
        <x:f t="shared" si="9">AVERAGE(AF31:AG31)</x:f>
        <x:v>4.5</x:v>
      </x:c>
      <x:c r="AO31" s="10" t="n">
        <x:f t="shared" si="10">AVERAGE(AH31:AI31)</x:f>
        <x:v>1.5</x:v>
      </x:c>
      <x:c r="AP31" s="8" t="s">
        <x:v>89</x:v>
      </x:c>
      <x:c r="AQ31" s="7">
        <x:v>864</x:v>
      </x:c>
      <x:c r="AR31" s="5">
        <x:v>0.77</x:v>
      </x:c>
      <x:c r="AS31" t="s">
        <x:v>51</x:v>
      </x:c>
      <x:c r="AT31" t="n">
        <x:f>COUNTIF(G31:N31,1)</x:f>
        <x:v>4</x:v>
      </x:c>
      <x:c r="AU31" s="5" t="n">
        <x:f>AVERAGE(AB31:AI31)</x:f>
        <x:v>3.125</x:v>
      </x:c>
      <x:c r="AV31" s="5" t="n">
        <x:f>SUMIFS($AT$2:$AT$41,$B$2:$B$41,B31,$AS$2:$AS$41,"Einschluss")/COUNTIFS($B$2:$B$41,B31,$AS$2:$AS$41,"Einschluss")</x:f>
        <x:v>4.75</x:v>
      </x:c>
      <x:c r="AW31" s="5" t="n">
        <x:f t="shared" si="11">AT31-AV31</x:f>
        <x:v>-0.75</x:v>
      </x:c>
    </x:row>
    <x:row r="32">
      <x:c r="A32" s="7">
        <x:v>273</x:v>
      </x:c>
      <x:c r="B32" s="8" t="s">
        <x:v>49</x:v>
      </x:c>
      <x:c r="C32" s="9">
        <x:v>46273.597546295998</x:v>
      </x:c>
      <x:c r="D32" s="7">
        <x:v>1</x:v>
      </x:c>
      <x:c r="E32" s="7">
        <x:v>1</x:v>
      </x:c>
      <x:c r="F32" s="8"/>
      <x:c r="G32" s="7">
        <x:v>1</x:v>
      </x:c>
      <x:c r="H32" s="7">
        <x:v>1</x:v>
      </x:c>
      <x:c r="I32" s="7">
        <x:v>1</x:v>
      </x:c>
      <x:c r="J32" s="7">
        <x:v>2</x:v>
      </x:c>
      <x:c r="K32" s="7">
        <x:v>1</x:v>
      </x:c>
      <x:c r="L32" s="7">
        <x:v>1</x:v>
      </x:c>
      <x:c r="M32" s="7">
        <x:v>4</x:v>
      </x:c>
      <x:c r="N32" s="7">
        <x:v>3</x:v>
      </x:c>
      <x:c r="O32" s="10" t="n">
        <x:f t="shared" si="0">IF(G32=1,1,0)</x:f>
        <x:v>1</x:v>
      </x:c>
      <x:c r="P32" s="10" t="n">
        <x:f t="shared" si="0">IF(H32=1,1,0)</x:f>
        <x:v>1</x:v>
      </x:c>
      <x:c r="Q32" s="10" t="n">
        <x:f t="shared" si="0">IF(I32=1,1,0)</x:f>
        <x:v>1</x:v>
      </x:c>
      <x:c r="R32" s="10" t="n">
        <x:f t="shared" si="0">IF(J32=1,1,0)</x:f>
        <x:v>0</x:v>
      </x:c>
      <x:c r="S32" s="10" t="n">
        <x:f t="shared" si="0">IF(K32=1,1,0)</x:f>
        <x:v>1</x:v>
      </x:c>
      <x:c r="T32" s="10" t="n">
        <x:f t="shared" si="0">IF(L32=1,1,0)</x:f>
        <x:v>1</x:v>
      </x:c>
      <x:c r="U32" s="10" t="n">
        <x:f t="shared" si="0">IF(M32=1,1,0)</x:f>
        <x:v>0</x:v>
      </x:c>
      <x:c r="V32" s="10" t="n">
        <x:f t="shared" si="0">IF(N32=1,1,0)</x:f>
        <x:v>0</x:v>
      </x:c>
      <x:c r="W32" s="11" t="n">
        <x:f t="shared" si="1">SUM(O32:V32)</x:f>
        <x:v>5</x:v>
      </x:c>
      <x:c r="X32" s="4" t="n">
        <x:f t="shared" si="2">SUM(O32:P32)</x:f>
        <x:v>2</x:v>
      </x:c>
      <x:c r="Y32" s="4" t="n">
        <x:f t="shared" si="3">SUM(Q32:R32)</x:f>
        <x:v>1</x:v>
      </x:c>
      <x:c r="Z32" s="4" t="n">
        <x:f t="shared" si="4">SUM(S32:T32)</x:f>
        <x:v>2</x:v>
      </x:c>
      <x:c r="AA32" s="4" t="n">
        <x:f t="shared" si="5">SUM(U32:V32)</x:f>
        <x:v>0</x:v>
      </x:c>
      <x:c r="AB32" s="7">
        <x:v>5</x:v>
      </x:c>
      <x:c r="AC32" s="7">
        <x:v>4</x:v>
      </x:c>
      <x:c r="AD32" s="7">
        <x:v>5</x:v>
      </x:c>
      <x:c r="AE32" s="7">
        <x:v>5</x:v>
      </x:c>
      <x:c r="AF32" s="7">
        <x:v>5</x:v>
      </x:c>
      <x:c r="AG32" s="7">
        <x:v>5</x:v>
      </x:c>
      <x:c r="AH32" s="7">
        <x:v>1</x:v>
      </x:c>
      <x:c r="AI32" s="7">
        <x:v>4</x:v>
      </x:c>
      <x:c r="AJ32" s="7">
        <x:v>5</x:v>
      </x:c>
      <x:c r="AK32" s="10" t="n">
        <x:f t="shared" si="6">AVERAGE(AB32:AI32)</x:f>
        <x:v>4.25</x:v>
      </x:c>
      <x:c r="AL32" s="10" t="n">
        <x:f t="shared" si="7">AVERAGE(AB32:AC32)</x:f>
        <x:v>4.5</x:v>
      </x:c>
      <x:c r="AM32" s="10" t="n">
        <x:f t="shared" si="8">AVERAGE(AD32:AE32)</x:f>
        <x:v>5</x:v>
      </x:c>
      <x:c r="AN32" s="10" t="n">
        <x:f t="shared" si="9">AVERAGE(AF32:AG32)</x:f>
        <x:v>5</x:v>
      </x:c>
      <x:c r="AO32" s="10" t="n">
        <x:f t="shared" si="10">AVERAGE(AH32:AI32)</x:f>
        <x:v>2.5</x:v>
      </x:c>
      <x:c r="AP32" s="8" t="s">
        <x:v>90</x:v>
      </x:c>
      <x:c r="AQ32" s="7">
        <x:v>1179</x:v>
      </x:c>
      <x:c r="AR32" s="5">
        <x:v>0.62</x:v>
      </x:c>
      <x:c r="AS32" t="s">
        <x:v>51</x:v>
      </x:c>
      <x:c r="AT32" t="n">
        <x:f>COUNTIF(G32:N32,1)</x:f>
        <x:v>5</x:v>
      </x:c>
      <x:c r="AU32" s="5" t="n">
        <x:f>AVERAGE(AB32:AI32)</x:f>
        <x:v>4.25</x:v>
      </x:c>
      <x:c r="AV32" s="5" t="n">
        <x:f>SUMIFS($AT$2:$AT$41,$B$2:$B$41,B32,$AS$2:$AS$41,"Einschluss")/COUNTIFS($B$2:$B$41,B32,$AS$2:$AS$41,"Einschluss")</x:f>
        <x:v>4.75</x:v>
      </x:c>
      <x:c r="AW32" s="5" t="n">
        <x:f t="shared" si="11">AT32-AV32</x:f>
        <x:v>0.25</x:v>
      </x:c>
    </x:row>
    <x:row r="33">
      <x:c r="A33" s="7">
        <x:v>275</x:v>
      </x:c>
      <x:c r="B33" s="8" t="s">
        <x:v>49</x:v>
      </x:c>
      <x:c r="C33" s="9">
        <x:v>46273.602037037002</x:v>
      </x:c>
      <x:c r="D33" s="7">
        <x:v>1</x:v>
      </x:c>
      <x:c r="E33" s="7">
        <x:v>1</x:v>
      </x:c>
      <x:c r="F33" s="8" t="s">
        <x:v>91</x:v>
      </x:c>
      <x:c r="G33" s="7">
        <x:v>1</x:v>
      </x:c>
      <x:c r="H33" s="7">
        <x:v>1</x:v>
      </x:c>
      <x:c r="I33" s="7">
        <x:v>1</x:v>
      </x:c>
      <x:c r="J33" s="7">
        <x:v>1</x:v>
      </x:c>
      <x:c r="K33" s="7">
        <x:v>1</x:v>
      </x:c>
      <x:c r="L33" s="7">
        <x:v>1</x:v>
      </x:c>
      <x:c r="M33" s="7">
        <x:v>2</x:v>
      </x:c>
      <x:c r="N33" s="7">
        <x:v>1</x:v>
      </x:c>
      <x:c r="O33" s="10" t="n">
        <x:f t="shared" si="0">IF(G33=1,1,0)</x:f>
        <x:v>1</x:v>
      </x:c>
      <x:c r="P33" s="10" t="n">
        <x:f t="shared" si="0">IF(H33=1,1,0)</x:f>
        <x:v>1</x:v>
      </x:c>
      <x:c r="Q33" s="10" t="n">
        <x:f t="shared" si="0">IF(I33=1,1,0)</x:f>
        <x:v>1</x:v>
      </x:c>
      <x:c r="R33" s="10" t="n">
        <x:f t="shared" si="0">IF(J33=1,1,0)</x:f>
        <x:v>1</x:v>
      </x:c>
      <x:c r="S33" s="10" t="n">
        <x:f t="shared" si="0">IF(K33=1,1,0)</x:f>
        <x:v>1</x:v>
      </x:c>
      <x:c r="T33" s="10" t="n">
        <x:f t="shared" si="0">IF(L33=1,1,0)</x:f>
        <x:v>1</x:v>
      </x:c>
      <x:c r="U33" s="10" t="n">
        <x:f t="shared" si="0">IF(M33=1,1,0)</x:f>
        <x:v>0</x:v>
      </x:c>
      <x:c r="V33" s="10" t="n">
        <x:f t="shared" si="0">IF(N33=1,1,0)</x:f>
        <x:v>1</x:v>
      </x:c>
      <x:c r="W33" s="11" t="n">
        <x:f t="shared" si="1">SUM(O33:V33)</x:f>
        <x:v>7</x:v>
      </x:c>
      <x:c r="X33" s="4" t="n">
        <x:f t="shared" si="2">SUM(O33:P33)</x:f>
        <x:v>2</x:v>
      </x:c>
      <x:c r="Y33" s="4" t="n">
        <x:f t="shared" si="3">SUM(Q33:R33)</x:f>
        <x:v>2</x:v>
      </x:c>
      <x:c r="Z33" s="4" t="n">
        <x:f t="shared" si="4">SUM(S33:T33)</x:f>
        <x:v>2</x:v>
      </x:c>
      <x:c r="AA33" s="4" t="n">
        <x:f t="shared" si="5">SUM(U33:V33)</x:f>
        <x:v>1</x:v>
      </x:c>
      <x:c r="AB33" s="7">
        <x:v>5</x:v>
      </x:c>
      <x:c r="AC33" s="7">
        <x:v>4</x:v>
      </x:c>
      <x:c r="AD33" s="7">
        <x:v>5</x:v>
      </x:c>
      <x:c r="AE33" s="7">
        <x:v>5</x:v>
      </x:c>
      <x:c r="AF33" s="7">
        <x:v>5</x:v>
      </x:c>
      <x:c r="AG33" s="7">
        <x:v>4</x:v>
      </x:c>
      <x:c r="AH33" s="7">
        <x:v>2</x:v>
      </x:c>
      <x:c r="AI33" s="7">
        <x:v>1</x:v>
      </x:c>
      <x:c r="AJ33" s="7">
        <x:v>4</x:v>
      </x:c>
      <x:c r="AK33" s="10" t="n">
        <x:f t="shared" si="6">AVERAGE(AB33:AI33)</x:f>
        <x:v>3.875</x:v>
      </x:c>
      <x:c r="AL33" s="10" t="n">
        <x:f t="shared" si="7">AVERAGE(AB33:AC33)</x:f>
        <x:v>4.5</x:v>
      </x:c>
      <x:c r="AM33" s="10" t="n">
        <x:f t="shared" si="8">AVERAGE(AD33:AE33)</x:f>
        <x:v>5</x:v>
      </x:c>
      <x:c r="AN33" s="10" t="n">
        <x:f t="shared" si="9">AVERAGE(AF33:AG33)</x:f>
        <x:v>4.5</x:v>
      </x:c>
      <x:c r="AO33" s="10" t="n">
        <x:f t="shared" si="10">AVERAGE(AH33:AI33)</x:f>
        <x:v>1.5</x:v>
      </x:c>
      <x:c r="AP33" s="8" t="s">
        <x:v>92</x:v>
      </x:c>
      <x:c r="AQ33" s="7">
        <x:v>954</x:v>
      </x:c>
      <x:c r="AR33" s="5">
        <x:v>0.43</x:v>
      </x:c>
      <x:c r="AS33" t="s">
        <x:v>51</x:v>
      </x:c>
      <x:c r="AT33" t="n">
        <x:f>COUNTIF(G33:N33,1)</x:f>
        <x:v>7</x:v>
      </x:c>
      <x:c r="AU33" s="5" t="n">
        <x:f>AVERAGE(AB33:AI33)</x:f>
        <x:v>3.875</x:v>
      </x:c>
      <x:c r="AV33" s="5" t="n">
        <x:f>SUMIFS($AT$2:$AT$41,$B$2:$B$41,B33,$AS$2:$AS$41,"Einschluss")/COUNTIFS($B$2:$B$41,B33,$AS$2:$AS$41,"Einschluss")</x:f>
        <x:v>4.75</x:v>
      </x:c>
      <x:c r="AW33" s="5" t="n">
        <x:f t="shared" si="11">AT33-AV33</x:f>
        <x:v>2.25</x:v>
      </x:c>
    </x:row>
    <x:row r="34">
      <x:c r="A34" s="7">
        <x:v>278</x:v>
      </x:c>
      <x:c r="B34" s="8" t="s">
        <x:v>49</x:v>
      </x:c>
      <x:c r="C34" s="9">
        <x:v>46273.605370370002</x:v>
      </x:c>
      <x:c r="D34" s="7">
        <x:v>1</x:v>
      </x:c>
      <x:c r="E34" s="7">
        <x:v>1</x:v>
      </x:c>
      <x:c r="F34" s="8" t="s">
        <x:v>59</x:v>
      </x:c>
      <x:c r="G34" s="7">
        <x:v>1</x:v>
      </x:c>
      <x:c r="H34" s="7">
        <x:v>1</x:v>
      </x:c>
      <x:c r="I34" s="7">
        <x:v>4</x:v>
      </x:c>
      <x:c r="J34" s="7">
        <x:v>1</x:v>
      </x:c>
      <x:c r="K34" s="7">
        <x:v>4</x:v>
      </x:c>
      <x:c r="L34" s="7">
        <x:v>1</x:v>
      </x:c>
      <x:c r="M34" s="7">
        <x:v>4</x:v>
      </x:c>
      <x:c r="N34" s="7">
        <x:v>4</x:v>
      </x:c>
      <x:c r="O34" s="10" t="n">
        <x:f t="shared" si="0">IF(G34=1,1,0)</x:f>
        <x:v>1</x:v>
      </x:c>
      <x:c r="P34" s="10" t="n">
        <x:f t="shared" si="0">IF(H34=1,1,0)</x:f>
        <x:v>1</x:v>
      </x:c>
      <x:c r="Q34" s="10" t="n">
        <x:f t="shared" si="0">IF(I34=1,1,0)</x:f>
        <x:v>0</x:v>
      </x:c>
      <x:c r="R34" s="10" t="n">
        <x:f t="shared" si="0">IF(J34=1,1,0)</x:f>
        <x:v>1</x:v>
      </x:c>
      <x:c r="S34" s="10" t="n">
        <x:f t="shared" si="0">IF(K34=1,1,0)</x:f>
        <x:v>0</x:v>
      </x:c>
      <x:c r="T34" s="10" t="n">
        <x:f t="shared" si="0">IF(L34=1,1,0)</x:f>
        <x:v>1</x:v>
      </x:c>
      <x:c r="U34" s="10" t="n">
        <x:f t="shared" si="0">IF(M34=1,1,0)</x:f>
        <x:v>0</x:v>
      </x:c>
      <x:c r="V34" s="10" t="n">
        <x:f t="shared" ref="V34:V41" si="12">IF(N34=1,1,0)</x:f>
        <x:v>0</x:v>
      </x:c>
      <x:c r="W34" s="11" t="n">
        <x:f t="shared" si="1">SUM(O34:V34)</x:f>
        <x:v>4</x:v>
      </x:c>
      <x:c r="X34" s="4" t="n">
        <x:f t="shared" si="2">SUM(O34:P34)</x:f>
        <x:v>2</x:v>
      </x:c>
      <x:c r="Y34" s="4" t="n">
        <x:f t="shared" si="3">SUM(Q34:R34)</x:f>
        <x:v>1</x:v>
      </x:c>
      <x:c r="Z34" s="4" t="n">
        <x:f t="shared" si="4">SUM(S34:T34)</x:f>
        <x:v>1</x:v>
      </x:c>
      <x:c r="AA34" s="4" t="n">
        <x:f t="shared" si="5">SUM(U34:V34)</x:f>
        <x:v>0</x:v>
      </x:c>
      <x:c r="AB34" s="7">
        <x:v>5</x:v>
      </x:c>
      <x:c r="AC34" s="7">
        <x:v>3</x:v>
      </x:c>
      <x:c r="AD34" s="7">
        <x:v>5</x:v>
      </x:c>
      <x:c r="AE34" s="7">
        <x:v>4</x:v>
      </x:c>
      <x:c r="AF34" s="7">
        <x:v>3</x:v>
      </x:c>
      <x:c r="AG34" s="7">
        <x:v>3</x:v>
      </x:c>
      <x:c r="AH34" s="7">
        <x:v>1</x:v>
      </x:c>
      <x:c r="AI34" s="7">
        <x:v>2</x:v>
      </x:c>
      <x:c r="AJ34" s="7">
        <x:v>2</x:v>
      </x:c>
      <x:c r="AK34" s="10" t="n">
        <x:f t="shared" si="6">AVERAGE(AB34:AI34)</x:f>
        <x:v>3.25</x:v>
      </x:c>
      <x:c r="AL34" s="10" t="n">
        <x:f t="shared" si="7">AVERAGE(AB34:AC34)</x:f>
        <x:v>4</x:v>
      </x:c>
      <x:c r="AM34" s="10" t="n">
        <x:f t="shared" si="8">AVERAGE(AD34:AE34)</x:f>
        <x:v>4.5</x:v>
      </x:c>
      <x:c r="AN34" s="10" t="n">
        <x:f t="shared" si="9">AVERAGE(AF34:AG34)</x:f>
        <x:v>3</x:v>
      </x:c>
      <x:c r="AO34" s="10" t="n">
        <x:f t="shared" si="10">AVERAGE(AH34:AI34)</x:f>
        <x:v>1.5</x:v>
      </x:c>
      <x:c r="AP34" s="8" t="s">
        <x:v>93</x:v>
      </x:c>
      <x:c r="AQ34" s="7">
        <x:v>371</x:v>
      </x:c>
      <x:c r="AR34" s="5">
        <x:v>2.09</x:v>
      </x:c>
      <x:c r="AS34" t="s">
        <x:v>51</x:v>
      </x:c>
      <x:c r="AT34" t="n">
        <x:f>COUNTIF(G34:N34,1)</x:f>
        <x:v>4</x:v>
      </x:c>
      <x:c r="AU34" s="5" t="n">
        <x:f>AVERAGE(AB34:AI34)</x:f>
        <x:v>3.25</x:v>
      </x:c>
      <x:c r="AV34" s="5" t="n">
        <x:f>SUMIFS($AT$2:$AT$41,$B$2:$B$41,B34,$AS$2:$AS$41,"Einschluss")/COUNTIFS($B$2:$B$41,B34,$AS$2:$AS$41,"Einschluss")</x:f>
        <x:v>4.75</x:v>
      </x:c>
      <x:c r="AW34" s="5" t="n">
        <x:f t="shared" si="11">AT34-AV34</x:f>
        <x:v>-0.75</x:v>
      </x:c>
    </x:row>
    <x:row r="35">
      <x:c r="A35" s="7">
        <x:v>282</x:v>
      </x:c>
      <x:c r="B35" s="8" t="s">
        <x:v>49</x:v>
      </x:c>
      <x:c r="C35" s="9">
        <x:v>46273.678923610998</x:v>
      </x:c>
      <x:c r="D35" s="7">
        <x:v>1</x:v>
      </x:c>
      <x:c r="E35" s="7">
        <x:v>1</x:v>
      </x:c>
      <x:c r="F35" s="8" t="s">
        <x:v>94</x:v>
      </x:c>
      <x:c r="G35" s="7">
        <x:v>1</x:v>
      </x:c>
      <x:c r="H35" s="7">
        <x:v>1</x:v>
      </x:c>
      <x:c r="I35" s="7">
        <x:v>3</x:v>
      </x:c>
      <x:c r="J35" s="7">
        <x:v>3</x:v>
      </x:c>
      <x:c r="K35" s="7">
        <x:v>1</x:v>
      </x:c>
      <x:c r="L35" s="7">
        <x:v>4</x:v>
      </x:c>
      <x:c r="M35" s="7">
        <x:v>1</x:v>
      </x:c>
      <x:c r="N35" s="7">
        <x:v>2</x:v>
      </x:c>
      <x:c r="O35" s="10" t="n">
        <x:f t="shared" ref="O35:U41" si="13">IF(G35=1,1,0)</x:f>
        <x:v>1</x:v>
      </x:c>
      <x:c r="P35" s="10" t="n">
        <x:f t="shared" si="13">IF(H35=1,1,0)</x:f>
        <x:v>1</x:v>
      </x:c>
      <x:c r="Q35" s="10" t="n">
        <x:f t="shared" si="13">IF(I35=1,1,0)</x:f>
        <x:v>0</x:v>
      </x:c>
      <x:c r="R35" s="10" t="n">
        <x:f t="shared" si="13">IF(J35=1,1,0)</x:f>
        <x:v>0</x:v>
      </x:c>
      <x:c r="S35" s="10" t="n">
        <x:f t="shared" si="13">IF(K35=1,1,0)</x:f>
        <x:v>1</x:v>
      </x:c>
      <x:c r="T35" s="10" t="n">
        <x:f t="shared" si="13">IF(L35=1,1,0)</x:f>
        <x:v>0</x:v>
      </x:c>
      <x:c r="U35" s="10" t="n">
        <x:f t="shared" si="13">IF(M35=1,1,0)</x:f>
        <x:v>1</x:v>
      </x:c>
      <x:c r="V35" s="10" t="n">
        <x:f t="shared" si="12">IF(N35=1,1,0)</x:f>
        <x:v>0</x:v>
      </x:c>
      <x:c r="W35" s="11" t="n">
        <x:f t="shared" si="1">SUM(O35:V35)</x:f>
        <x:v>4</x:v>
      </x:c>
      <x:c r="X35" s="4" t="n">
        <x:f t="shared" si="2">SUM(O35:P35)</x:f>
        <x:v>2</x:v>
      </x:c>
      <x:c r="Y35" s="4" t="n">
        <x:f t="shared" si="3">SUM(Q35:R35)</x:f>
        <x:v>0</x:v>
      </x:c>
      <x:c r="Z35" s="4" t="n">
        <x:f t="shared" si="4">SUM(S35:T35)</x:f>
        <x:v>1</x:v>
      </x:c>
      <x:c r="AA35" s="4" t="n">
        <x:f t="shared" si="5">SUM(U35:V35)</x:f>
        <x:v>1</x:v>
      </x:c>
      <x:c r="AB35" s="7">
        <x:v>2</x:v>
      </x:c>
      <x:c r="AC35" s="7">
        <x:v>2</x:v>
      </x:c>
      <x:c r="AD35" s="7">
        <x:v>3</x:v>
      </x:c>
      <x:c r="AE35" s="7">
        <x:v>3</x:v>
      </x:c>
      <x:c r="AF35" s="7">
        <x:v>4</x:v>
      </x:c>
      <x:c r="AG35" s="7">
        <x:v>3</x:v>
      </x:c>
      <x:c r="AH35" s="7">
        <x:v>2</x:v>
      </x:c>
      <x:c r="AI35" s="7">
        <x:v>2</x:v>
      </x:c>
      <x:c r="AJ35" s="7">
        <x:v>3</x:v>
      </x:c>
      <x:c r="AK35" s="10" t="n">
        <x:f t="shared" si="6">AVERAGE(AB35:AI35)</x:f>
        <x:v>2.625</x:v>
      </x:c>
      <x:c r="AL35" s="10" t="n">
        <x:f t="shared" si="7">AVERAGE(AB35:AC35)</x:f>
        <x:v>2</x:v>
      </x:c>
      <x:c r="AM35" s="10" t="n">
        <x:f t="shared" si="8">AVERAGE(AD35:AE35)</x:f>
        <x:v>3</x:v>
      </x:c>
      <x:c r="AN35" s="10" t="n">
        <x:f t="shared" si="9">AVERAGE(AF35:AG35)</x:f>
        <x:v>3.5</x:v>
      </x:c>
      <x:c r="AO35" s="10" t="n">
        <x:f t="shared" si="10">AVERAGE(AH35:AI35)</x:f>
        <x:v>2</x:v>
      </x:c>
      <x:c r="AP35" s="8" t="s">
        <x:v>95</x:v>
      </x:c>
      <x:c r="AQ35" s="7">
        <x:v>494</x:v>
      </x:c>
      <x:c r="AR35" s="5">
        <x:v>1.72</x:v>
      </x:c>
      <x:c r="AS35" t="s">
        <x:v>51</x:v>
      </x:c>
      <x:c r="AT35" t="n">
        <x:f>COUNTIF(G35:N35,1)</x:f>
        <x:v>4</x:v>
      </x:c>
      <x:c r="AU35" s="5" t="n">
        <x:f>AVERAGE(AB35:AI35)</x:f>
        <x:v>2.625</x:v>
      </x:c>
      <x:c r="AV35" s="5" t="n">
        <x:f>SUMIFS($AT$2:$AT$41,$B$2:$B$41,B35,$AS$2:$AS$41,"Einschluss")/COUNTIFS($B$2:$B$41,B35,$AS$2:$AS$41,"Einschluss")</x:f>
        <x:v>4.75</x:v>
      </x:c>
      <x:c r="AW35" s="5" t="n">
        <x:f t="shared" si="11">AT35-AV35</x:f>
        <x:v>-0.75</x:v>
      </x:c>
    </x:row>
    <x:row r="36">
      <x:c r="A36" s="7">
        <x:v>287</x:v>
      </x:c>
      <x:c r="B36" s="8" t="s">
        <x:v>58</x:v>
      </x:c>
      <x:c r="C36" s="9">
        <x:v>46273.704918980999</x:v>
      </x:c>
      <x:c r="D36" s="7">
        <x:v>1</x:v>
      </x:c>
      <x:c r="E36" s="7">
        <x:v>1</x:v>
      </x:c>
      <x:c r="F36" s="8" t="s">
        <x:v>59</x:v>
      </x:c>
      <x:c r="G36" s="7">
        <x:v>1</x:v>
      </x:c>
      <x:c r="H36" s="7">
        <x:v>4</x:v>
      </x:c>
      <x:c r="I36" s="7">
        <x:v>3</x:v>
      </x:c>
      <x:c r="J36" s="7">
        <x:v>4</x:v>
      </x:c>
      <x:c r="K36" s="7">
        <x:v>4</x:v>
      </x:c>
      <x:c r="L36" s="7">
        <x:v>2</x:v>
      </x:c>
      <x:c r="M36" s="7">
        <x:v>4</x:v>
      </x:c>
      <x:c r="N36" s="7">
        <x:v>2</x:v>
      </x:c>
      <x:c r="O36" s="10" t="n">
        <x:f t="shared" si="13">IF(G36=1,1,0)</x:f>
        <x:v>1</x:v>
      </x:c>
      <x:c r="P36" s="10" t="n">
        <x:f t="shared" si="13">IF(H36=1,1,0)</x:f>
        <x:v>0</x:v>
      </x:c>
      <x:c r="Q36" s="10" t="n">
        <x:f t="shared" si="13">IF(I36=1,1,0)</x:f>
        <x:v>0</x:v>
      </x:c>
      <x:c r="R36" s="10" t="n">
        <x:f t="shared" si="13">IF(J36=1,1,0)</x:f>
        <x:v>0</x:v>
      </x:c>
      <x:c r="S36" s="10" t="n">
        <x:f t="shared" si="13">IF(K36=1,1,0)</x:f>
        <x:v>0</x:v>
      </x:c>
      <x:c r="T36" s="10" t="n">
        <x:f t="shared" si="13">IF(L36=1,1,0)</x:f>
        <x:v>0</x:v>
      </x:c>
      <x:c r="U36" s="10" t="n">
        <x:f t="shared" si="13">IF(M36=1,1,0)</x:f>
        <x:v>0</x:v>
      </x:c>
      <x:c r="V36" s="10" t="n">
        <x:f t="shared" si="12">IF(N36=1,1,0)</x:f>
        <x:v>0</x:v>
      </x:c>
      <x:c r="W36" s="11" t="n">
        <x:f t="shared" si="1">SUM(O36:V36)</x:f>
        <x:v>1</x:v>
      </x:c>
      <x:c r="X36" s="4" t="n">
        <x:f t="shared" si="2">SUM(O36:P36)</x:f>
        <x:v>1</x:v>
      </x:c>
      <x:c r="Y36" s="4" t="n">
        <x:f t="shared" si="3">SUM(Q36:R36)</x:f>
        <x:v>0</x:v>
      </x:c>
      <x:c r="Z36" s="4" t="n">
        <x:f t="shared" si="4">SUM(S36:T36)</x:f>
        <x:v>0</x:v>
      </x:c>
      <x:c r="AA36" s="4" t="n">
        <x:f t="shared" si="5">SUM(U36:V36)</x:f>
        <x:v>0</x:v>
      </x:c>
      <x:c r="AB36" s="7">
        <x:v>3</x:v>
      </x:c>
      <x:c r="AC36" s="7">
        <x:v>2</x:v>
      </x:c>
      <x:c r="AD36" s="7">
        <x:v>3</x:v>
      </x:c>
      <x:c r="AE36" s="7">
        <x:v>2</x:v>
      </x:c>
      <x:c r="AF36" s="7">
        <x:v>4</x:v>
      </x:c>
      <x:c r="AG36" s="7">
        <x:v>4</x:v>
      </x:c>
      <x:c r="AH36" s="7">
        <x:v>1</x:v>
      </x:c>
      <x:c r="AI36" s="7">
        <x:v>2</x:v>
      </x:c>
      <x:c r="AJ36" s="7">
        <x:v>3</x:v>
      </x:c>
      <x:c r="AK36" s="10" t="n">
        <x:f t="shared" si="6">AVERAGE(AB36:AI36)</x:f>
        <x:v>2.625</x:v>
      </x:c>
      <x:c r="AL36" s="10" t="n">
        <x:f t="shared" si="7">AVERAGE(AB36:AC36)</x:f>
        <x:v>2.5</x:v>
      </x:c>
      <x:c r="AM36" s="10" t="n">
        <x:f t="shared" si="8">AVERAGE(AD36:AE36)</x:f>
        <x:v>2.5</x:v>
      </x:c>
      <x:c r="AN36" s="10" t="n">
        <x:f t="shared" si="9">AVERAGE(AF36:AG36)</x:f>
        <x:v>4</x:v>
      </x:c>
      <x:c r="AO36" s="10" t="n">
        <x:f t="shared" si="10">AVERAGE(AH36:AI36)</x:f>
        <x:v>1.5</x:v>
      </x:c>
      <x:c r="AP36" s="8" t="s">
        <x:v>96</x:v>
      </x:c>
      <x:c r="AQ36" s="7">
        <x:v>817</x:v>
      </x:c>
      <x:c r="AR36" s="5">
        <x:v>0.95</x:v>
      </x:c>
      <x:c r="AS36" t="s">
        <x:v>51</x:v>
      </x:c>
      <x:c r="AT36" t="n">
        <x:f>COUNTIF(G36:N36,1)</x:f>
        <x:v>1</x:v>
      </x:c>
      <x:c r="AU36" s="5" t="n">
        <x:f>AVERAGE(AB36:AI36)</x:f>
        <x:v>2.625</x:v>
      </x:c>
      <x:c r="AV36" s="5" t="n">
        <x:f>SUMIFS($AT$2:$AT$41,$B$2:$B$41,B36,$AS$2:$AS$41,"Einschluss")/COUNTIFS($B$2:$B$41,B36,$AS$2:$AS$41,"Einschluss")</x:f>
        <x:v>4</x:v>
      </x:c>
      <x:c r="AW36" s="5" t="n">
        <x:f t="shared" si="11">AT36-AV36</x:f>
        <x:v>-3</x:v>
      </x:c>
    </x:row>
    <x:row r="37">
      <x:c r="A37" s="7">
        <x:v>290</x:v>
      </x:c>
      <x:c r="B37" s="8" t="s">
        <x:v>49</x:v>
      </x:c>
      <x:c r="C37" s="9">
        <x:v>46273.736493056</x:v>
      </x:c>
      <x:c r="D37" s="7">
        <x:v>1</x:v>
      </x:c>
      <x:c r="E37" s="7">
        <x:v>2</x:v>
      </x:c>
      <x:c r="F37" s="8"/>
      <x:c r="G37" s="7">
        <x:v>1</x:v>
      </x:c>
      <x:c r="H37" s="7">
        <x:v>3</x:v>
      </x:c>
      <x:c r="I37" s="7">
        <x:v>3</x:v>
      </x:c>
      <x:c r="J37" s="7">
        <x:v>1</x:v>
      </x:c>
      <x:c r="K37" s="7">
        <x:v>1</x:v>
      </x:c>
      <x:c r="L37" s="7">
        <x:v>1</x:v>
      </x:c>
      <x:c r="M37" s="7">
        <x:v>1</x:v>
      </x:c>
      <x:c r="N37" s="7">
        <x:v>4</x:v>
      </x:c>
      <x:c r="O37" s="10" t="n">
        <x:f t="shared" si="13">IF(G37=1,1,0)</x:f>
        <x:v>1</x:v>
      </x:c>
      <x:c r="P37" s="10" t="n">
        <x:f t="shared" si="13">IF(H37=1,1,0)</x:f>
        <x:v>0</x:v>
      </x:c>
      <x:c r="Q37" s="10" t="n">
        <x:f t="shared" si="13">IF(I37=1,1,0)</x:f>
        <x:v>0</x:v>
      </x:c>
      <x:c r="R37" s="10" t="n">
        <x:f t="shared" si="13">IF(J37=1,1,0)</x:f>
        <x:v>1</x:v>
      </x:c>
      <x:c r="S37" s="10" t="n">
        <x:f t="shared" si="13">IF(K37=1,1,0)</x:f>
        <x:v>1</x:v>
      </x:c>
      <x:c r="T37" s="10" t="n">
        <x:f t="shared" si="13">IF(L37=1,1,0)</x:f>
        <x:v>1</x:v>
      </x:c>
      <x:c r="U37" s="10" t="n">
        <x:f t="shared" si="13">IF(M37=1,1,0)</x:f>
        <x:v>1</x:v>
      </x:c>
      <x:c r="V37" s="10" t="n">
        <x:f t="shared" si="12">IF(N37=1,1,0)</x:f>
        <x:v>0</x:v>
      </x:c>
      <x:c r="W37" s="11" t="n">
        <x:f t="shared" si="1">SUM(O37:V37)</x:f>
        <x:v>5</x:v>
      </x:c>
      <x:c r="X37" s="4" t="n">
        <x:f t="shared" si="2">SUM(O37:P37)</x:f>
        <x:v>1</x:v>
      </x:c>
      <x:c r="Y37" s="4" t="n">
        <x:f t="shared" si="3">SUM(Q37:R37)</x:f>
        <x:v>1</x:v>
      </x:c>
      <x:c r="Z37" s="4" t="n">
        <x:f t="shared" si="4">SUM(S37:T37)</x:f>
        <x:v>2</x:v>
      </x:c>
      <x:c r="AA37" s="4" t="n">
        <x:f t="shared" si="5">SUM(U37:V37)</x:f>
        <x:v>1</x:v>
      </x:c>
      <x:c r="AB37" s="7">
        <x:v>4</x:v>
      </x:c>
      <x:c r="AC37" s="7">
        <x:v>2</x:v>
      </x:c>
      <x:c r="AD37" s="7">
        <x:v>4</x:v>
      </x:c>
      <x:c r="AE37" s="7">
        <x:v>3</x:v>
      </x:c>
      <x:c r="AF37" s="7">
        <x:v>5</x:v>
      </x:c>
      <x:c r="AG37" s="7">
        <x:v>4</x:v>
      </x:c>
      <x:c r="AH37" s="7">
        <x:v>1</x:v>
      </x:c>
      <x:c r="AI37" s="7">
        <x:v>2</x:v>
      </x:c>
      <x:c r="AJ37" s="7">
        <x:v>4</x:v>
      </x:c>
      <x:c r="AK37" s="10" t="n">
        <x:f t="shared" si="6">AVERAGE(AB37:AI37)</x:f>
        <x:v>3.125</x:v>
      </x:c>
      <x:c r="AL37" s="10" t="n">
        <x:f t="shared" si="7">AVERAGE(AB37:AC37)</x:f>
        <x:v>3</x:v>
      </x:c>
      <x:c r="AM37" s="10" t="n">
        <x:f t="shared" si="8">AVERAGE(AD37:AE37)</x:f>
        <x:v>3.5</x:v>
      </x:c>
      <x:c r="AN37" s="10" t="n">
        <x:f t="shared" si="9">AVERAGE(AF37:AG37)</x:f>
        <x:v>4.5</x:v>
      </x:c>
      <x:c r="AO37" s="10" t="n">
        <x:f t="shared" si="10">AVERAGE(AH37:AI37)</x:f>
        <x:v>1.5</x:v>
      </x:c>
      <x:c r="AP37" s="8" t="s">
        <x:v>97</x:v>
      </x:c>
      <x:c r="AQ37" s="7">
        <x:v>910</x:v>
      </x:c>
      <x:c r="AR37" s="5">
        <x:v>0.74</x:v>
      </x:c>
      <x:c r="AS37" t="s">
        <x:v>51</x:v>
      </x:c>
      <x:c r="AT37" t="n">
        <x:f>COUNTIF(G37:N37,1)</x:f>
        <x:v>5</x:v>
      </x:c>
      <x:c r="AU37" s="5" t="n">
        <x:f>AVERAGE(AB37:AI37)</x:f>
        <x:v>3.125</x:v>
      </x:c>
      <x:c r="AV37" s="5" t="n">
        <x:f>SUMIFS($AT$2:$AT$41,$B$2:$B$41,B37,$AS$2:$AS$41,"Einschluss")/COUNTIFS($B$2:$B$41,B37,$AS$2:$AS$41,"Einschluss")</x:f>
        <x:v>4.75</x:v>
      </x:c>
      <x:c r="AW37" s="5" t="n">
        <x:f t="shared" si="11">AT37-AV37</x:f>
        <x:v>0.25</x:v>
      </x:c>
    </x:row>
    <x:row r="38">
      <x:c r="A38" s="7">
        <x:v>291</x:v>
      </x:c>
      <x:c r="B38" s="8" t="s">
        <x:v>49</x:v>
      </x:c>
      <x:c r="C38" s="9">
        <x:v>46273.747627315002</x:v>
      </x:c>
      <x:c r="D38" s="7">
        <x:v>1</x:v>
      </x:c>
      <x:c r="E38" s="7">
        <x:v>1</x:v>
      </x:c>
      <x:c r="F38" s="8" t="s">
        <x:v>59</x:v>
      </x:c>
      <x:c r="G38" s="7">
        <x:v>1</x:v>
      </x:c>
      <x:c r="H38" s="7">
        <x:v>1</x:v>
      </x:c>
      <x:c r="I38" s="7">
        <x:v>1</x:v>
      </x:c>
      <x:c r="J38" s="7">
        <x:v>1</x:v>
      </x:c>
      <x:c r="K38" s="7">
        <x:v>1</x:v>
      </x:c>
      <x:c r="L38" s="7">
        <x:v>1</x:v>
      </x:c>
      <x:c r="M38" s="7">
        <x:v>3</x:v>
      </x:c>
      <x:c r="N38" s="7">
        <x:v>4</x:v>
      </x:c>
      <x:c r="O38" s="10" t="n">
        <x:f t="shared" si="13">IF(G38=1,1,0)</x:f>
        <x:v>1</x:v>
      </x:c>
      <x:c r="P38" s="10" t="n">
        <x:f t="shared" si="13">IF(H38=1,1,0)</x:f>
        <x:v>1</x:v>
      </x:c>
      <x:c r="Q38" s="10" t="n">
        <x:f t="shared" si="13">IF(I38=1,1,0)</x:f>
        <x:v>1</x:v>
      </x:c>
      <x:c r="R38" s="10" t="n">
        <x:f t="shared" si="13">IF(J38=1,1,0)</x:f>
        <x:v>1</x:v>
      </x:c>
      <x:c r="S38" s="10" t="n">
        <x:f t="shared" si="13">IF(K38=1,1,0)</x:f>
        <x:v>1</x:v>
      </x:c>
      <x:c r="T38" s="10" t="n">
        <x:f t="shared" si="13">IF(L38=1,1,0)</x:f>
        <x:v>1</x:v>
      </x:c>
      <x:c r="U38" s="10" t="n">
        <x:f t="shared" si="13">IF(M38=1,1,0)</x:f>
        <x:v>0</x:v>
      </x:c>
      <x:c r="V38" s="10" t="n">
        <x:f t="shared" si="12">IF(N38=1,1,0)</x:f>
        <x:v>0</x:v>
      </x:c>
      <x:c r="W38" s="11" t="n">
        <x:f t="shared" si="1">SUM(O38:V38)</x:f>
        <x:v>6</x:v>
      </x:c>
      <x:c r="X38" s="4" t="n">
        <x:f t="shared" si="2">SUM(O38:P38)</x:f>
        <x:v>2</x:v>
      </x:c>
      <x:c r="Y38" s="4" t="n">
        <x:f t="shared" si="3">SUM(Q38:R38)</x:f>
        <x:v>2</x:v>
      </x:c>
      <x:c r="Z38" s="4" t="n">
        <x:f t="shared" si="4">SUM(S38:T38)</x:f>
        <x:v>2</x:v>
      </x:c>
      <x:c r="AA38" s="4" t="n">
        <x:f t="shared" si="5">SUM(U38:V38)</x:f>
        <x:v>0</x:v>
      </x:c>
      <x:c r="AB38" s="7">
        <x:v>4</x:v>
      </x:c>
      <x:c r="AC38" s="7">
        <x:v>5</x:v>
      </x:c>
      <x:c r="AD38" s="7">
        <x:v>4</x:v>
      </x:c>
      <x:c r="AE38" s="7">
        <x:v>5</x:v>
      </x:c>
      <x:c r="AF38" s="7">
        <x:v>5</x:v>
      </x:c>
      <x:c r="AG38" s="7">
        <x:v>5</x:v>
      </x:c>
      <x:c r="AH38" s="7">
        <x:v>3</x:v>
      </x:c>
      <x:c r="AI38" s="7">
        <x:v>2</x:v>
      </x:c>
      <x:c r="AJ38" s="7">
        <x:v>4</x:v>
      </x:c>
      <x:c r="AK38" s="10" t="n">
        <x:f t="shared" si="6">AVERAGE(AB38:AI38)</x:f>
        <x:v>4.125</x:v>
      </x:c>
      <x:c r="AL38" s="10" t="n">
        <x:f t="shared" si="7">AVERAGE(AB38:AC38)</x:f>
        <x:v>4.5</x:v>
      </x:c>
      <x:c r="AM38" s="10" t="n">
        <x:f t="shared" si="8">AVERAGE(AD38:AE38)</x:f>
        <x:v>4.5</x:v>
      </x:c>
      <x:c r="AN38" s="10" t="n">
        <x:f t="shared" si="9">AVERAGE(AF38:AG38)</x:f>
        <x:v>5</x:v>
      </x:c>
      <x:c r="AO38" s="10" t="n">
        <x:f t="shared" si="10">AVERAGE(AH38:AI38)</x:f>
        <x:v>2.5</x:v>
      </x:c>
      <x:c r="AP38" s="8" t="s">
        <x:v>98</x:v>
      </x:c>
      <x:c r="AQ38" s="7">
        <x:v>678</x:v>
      </x:c>
      <x:c r="AR38" s="5">
        <x:v>1.5</x:v>
      </x:c>
      <x:c r="AS38" t="s">
        <x:v>51</x:v>
      </x:c>
      <x:c r="AT38" t="n">
        <x:f>COUNTIF(G38:N38,1)</x:f>
        <x:v>6</x:v>
      </x:c>
      <x:c r="AU38" s="5" t="n">
        <x:f>AVERAGE(AB38:AI38)</x:f>
        <x:v>4.125</x:v>
      </x:c>
      <x:c r="AV38" s="5" t="n">
        <x:f>SUMIFS($AT$2:$AT$41,$B$2:$B$41,B38,$AS$2:$AS$41,"Einschluss")/COUNTIFS($B$2:$B$41,B38,$AS$2:$AS$41,"Einschluss")</x:f>
        <x:v>4.75</x:v>
      </x:c>
      <x:c r="AW38" s="5" t="n">
        <x:f t="shared" si="11">AT38-AV38</x:f>
        <x:v>1.25</x:v>
      </x:c>
    </x:row>
    <x:row r="39">
      <x:c r="A39" s="7">
        <x:v>297</x:v>
      </x:c>
      <x:c r="B39" s="8" t="s">
        <x:v>49</x:v>
      </x:c>
      <x:c r="C39" s="9">
        <x:v>46273.808425925999</x:v>
      </x:c>
      <x:c r="D39" s="7">
        <x:v>1</x:v>
      </x:c>
      <x:c r="E39" s="7">
        <x:v>1</x:v>
      </x:c>
      <x:c r="F39" s="8" t="s">
        <x:v>59</x:v>
      </x:c>
      <x:c r="G39" s="7">
        <x:v>1</x:v>
      </x:c>
      <x:c r="H39" s="7">
        <x:v>1</x:v>
      </x:c>
      <x:c r="I39" s="7">
        <x:v>1</x:v>
      </x:c>
      <x:c r="J39" s="7">
        <x:v>1</x:v>
      </x:c>
      <x:c r="K39" s="7">
        <x:v>1</x:v>
      </x:c>
      <x:c r="L39" s="7">
        <x:v>2</x:v>
      </x:c>
      <x:c r="M39" s="7">
        <x:v>1</x:v>
      </x:c>
      <x:c r="N39" s="7">
        <x:v>3</x:v>
      </x:c>
      <x:c r="O39" s="10" t="n">
        <x:f t="shared" si="13">IF(G39=1,1,0)</x:f>
        <x:v>1</x:v>
      </x:c>
      <x:c r="P39" s="10" t="n">
        <x:f t="shared" si="13">IF(H39=1,1,0)</x:f>
        <x:v>1</x:v>
      </x:c>
      <x:c r="Q39" s="10" t="n">
        <x:f t="shared" si="13">IF(I39=1,1,0)</x:f>
        <x:v>1</x:v>
      </x:c>
      <x:c r="R39" s="10" t="n">
        <x:f t="shared" si="13">IF(J39=1,1,0)</x:f>
        <x:v>1</x:v>
      </x:c>
      <x:c r="S39" s="10" t="n">
        <x:f t="shared" si="13">IF(K39=1,1,0)</x:f>
        <x:v>1</x:v>
      </x:c>
      <x:c r="T39" s="10" t="n">
        <x:f t="shared" si="13">IF(L39=1,1,0)</x:f>
        <x:v>0</x:v>
      </x:c>
      <x:c r="U39" s="10" t="n">
        <x:f t="shared" si="13">IF(M39=1,1,0)</x:f>
        <x:v>1</x:v>
      </x:c>
      <x:c r="V39" s="10" t="n">
        <x:f t="shared" si="12">IF(N39=1,1,0)</x:f>
        <x:v>0</x:v>
      </x:c>
      <x:c r="W39" s="11" t="n">
        <x:f t="shared" si="1">SUM(O39:V39)</x:f>
        <x:v>6</x:v>
      </x:c>
      <x:c r="X39" s="4" t="n">
        <x:f t="shared" si="2">SUM(O39:P39)</x:f>
        <x:v>2</x:v>
      </x:c>
      <x:c r="Y39" s="4" t="n">
        <x:f t="shared" si="3">SUM(Q39:R39)</x:f>
        <x:v>2</x:v>
      </x:c>
      <x:c r="Z39" s="4" t="n">
        <x:f t="shared" si="4">SUM(S39:T39)</x:f>
        <x:v>1</x:v>
      </x:c>
      <x:c r="AA39" s="4" t="n">
        <x:f t="shared" si="5">SUM(U39:V39)</x:f>
        <x:v>1</x:v>
      </x:c>
      <x:c r="AB39" s="7">
        <x:v>2</x:v>
      </x:c>
      <x:c r="AC39" s="7">
        <x:v>3</x:v>
      </x:c>
      <x:c r="AD39" s="7">
        <x:v>3</x:v>
      </x:c>
      <x:c r="AE39" s="7">
        <x:v>3</x:v>
      </x:c>
      <x:c r="AF39" s="7">
        <x:v>2</x:v>
      </x:c>
      <x:c r="AG39" s="7">
        <x:v>4</x:v>
      </x:c>
      <x:c r="AH39" s="7">
        <x:v>1</x:v>
      </x:c>
      <x:c r="AI39" s="7">
        <x:v>2</x:v>
      </x:c>
      <x:c r="AJ39" s="7">
        <x:v>3</x:v>
      </x:c>
      <x:c r="AK39" s="10" t="n">
        <x:f t="shared" si="6">AVERAGE(AB39:AI39)</x:f>
        <x:v>2.5</x:v>
      </x:c>
      <x:c r="AL39" s="10" t="n">
        <x:f t="shared" si="7">AVERAGE(AB39:AC39)</x:f>
        <x:v>2.5</x:v>
      </x:c>
      <x:c r="AM39" s="10" t="n">
        <x:f t="shared" si="8">AVERAGE(AD39:AE39)</x:f>
        <x:v>3</x:v>
      </x:c>
      <x:c r="AN39" s="10" t="n">
        <x:f t="shared" si="9">AVERAGE(AF39:AG39)</x:f>
        <x:v>3</x:v>
      </x:c>
      <x:c r="AO39" s="10" t="n">
        <x:f t="shared" si="10">AVERAGE(AH39:AI39)</x:f>
        <x:v>1.5</x:v>
      </x:c>
      <x:c r="AP39" s="8" t="s">
        <x:v>99</x:v>
      </x:c>
      <x:c r="AQ39" s="7">
        <x:v>897</x:v>
      </x:c>
      <x:c r="AR39" s="5">
        <x:v>1.1299999999999999</x:v>
      </x:c>
      <x:c r="AS39" t="s">
        <x:v>51</x:v>
      </x:c>
      <x:c r="AT39" t="n">
        <x:f>COUNTIF(G39:N39,1)</x:f>
        <x:v>6</x:v>
      </x:c>
      <x:c r="AU39" s="5" t="n">
        <x:f>AVERAGE(AB39:AI39)</x:f>
        <x:v>2.5</x:v>
      </x:c>
      <x:c r="AV39" s="5" t="n">
        <x:f>SUMIFS($AT$2:$AT$41,$B$2:$B$41,B39,$AS$2:$AS$41,"Einschluss")/COUNTIFS($B$2:$B$41,B39,$AS$2:$AS$41,"Einschluss")</x:f>
        <x:v>4.75</x:v>
      </x:c>
      <x:c r="AW39" s="5" t="n">
        <x:f t="shared" si="11">AT39-AV39</x:f>
        <x:v>1.25</x:v>
      </x:c>
    </x:row>
    <x:row r="40">
      <x:c r="A40" s="7">
        <x:v>298</x:v>
      </x:c>
      <x:c r="B40" s="8" t="s">
        <x:v>49</x:v>
      </x:c>
      <x:c r="C40" s="9">
        <x:v>46273.814814814999</x:v>
      </x:c>
      <x:c r="D40" s="7">
        <x:v>1</x:v>
      </x:c>
      <x:c r="E40" s="7">
        <x:v>1</x:v>
      </x:c>
      <x:c r="F40" s="8"/>
      <x:c r="G40" s="7">
        <x:v>1</x:v>
      </x:c>
      <x:c r="H40" s="7">
        <x:v>1</x:v>
      </x:c>
      <x:c r="I40" s="7">
        <x:v>3</x:v>
      </x:c>
      <x:c r="J40" s="7">
        <x:v>3</x:v>
      </x:c>
      <x:c r="K40" s="7">
        <x:v>1</x:v>
      </x:c>
      <x:c r="L40" s="7">
        <x:v>2</x:v>
      </x:c>
      <x:c r="M40" s="7">
        <x:v>3</x:v>
      </x:c>
      <x:c r="N40" s="7">
        <x:v>2</x:v>
      </x:c>
      <x:c r="O40" s="10" t="n">
        <x:f t="shared" si="13">IF(G40=1,1,0)</x:f>
        <x:v>1</x:v>
      </x:c>
      <x:c r="P40" s="10" t="n">
        <x:f t="shared" si="13">IF(H40=1,1,0)</x:f>
        <x:v>1</x:v>
      </x:c>
      <x:c r="Q40" s="10" t="n">
        <x:f t="shared" si="13">IF(I40=1,1,0)</x:f>
        <x:v>0</x:v>
      </x:c>
      <x:c r="R40" s="10" t="n">
        <x:f t="shared" si="13">IF(J40=1,1,0)</x:f>
        <x:v>0</x:v>
      </x:c>
      <x:c r="S40" s="10" t="n">
        <x:f t="shared" si="13">IF(K40=1,1,0)</x:f>
        <x:v>1</x:v>
      </x:c>
      <x:c r="T40" s="10" t="n">
        <x:f t="shared" si="13">IF(L40=1,1,0)</x:f>
        <x:v>0</x:v>
      </x:c>
      <x:c r="U40" s="10" t="n">
        <x:f t="shared" si="13">IF(M40=1,1,0)</x:f>
        <x:v>0</x:v>
      </x:c>
      <x:c r="V40" s="10" t="n">
        <x:f t="shared" si="12">IF(N40=1,1,0)</x:f>
        <x:v>0</x:v>
      </x:c>
      <x:c r="W40" s="11" t="n">
        <x:f t="shared" si="1">SUM(O40:V40)</x:f>
        <x:v>3</x:v>
      </x:c>
      <x:c r="X40" s="4" t="n">
        <x:f t="shared" si="2">SUM(O40:P40)</x:f>
        <x:v>2</x:v>
      </x:c>
      <x:c r="Y40" s="4" t="n">
        <x:f t="shared" si="3">SUM(Q40:R40)</x:f>
        <x:v>0</x:v>
      </x:c>
      <x:c r="Z40" s="4" t="n">
        <x:f t="shared" si="4">SUM(S40:T40)</x:f>
        <x:v>1</x:v>
      </x:c>
      <x:c r="AA40" s="4" t="n">
        <x:f t="shared" si="5">SUM(U40:V40)</x:f>
        <x:v>0</x:v>
      </x:c>
      <x:c r="AB40" s="7">
        <x:v>4</x:v>
      </x:c>
      <x:c r="AC40" s="7">
        <x:v>3</x:v>
      </x:c>
      <x:c r="AD40" s="7">
        <x:v>3</x:v>
      </x:c>
      <x:c r="AE40" s="7">
        <x:v>4</x:v>
      </x:c>
      <x:c r="AF40" s="7">
        <x:v>3</x:v>
      </x:c>
      <x:c r="AG40" s="7">
        <x:v>4</x:v>
      </x:c>
      <x:c r="AH40" s="7">
        <x:v>3</x:v>
      </x:c>
      <x:c r="AI40" s="7">
        <x:v>4</x:v>
      </x:c>
      <x:c r="AJ40" s="7">
        <x:v>5</x:v>
      </x:c>
      <x:c r="AK40" s="10" t="n">
        <x:f t="shared" si="6">AVERAGE(AB40:AI40)</x:f>
        <x:v>3.5</x:v>
      </x:c>
      <x:c r="AL40" s="10" t="n">
        <x:f t="shared" si="7">AVERAGE(AB40:AC40)</x:f>
        <x:v>3.5</x:v>
      </x:c>
      <x:c r="AM40" s="10" t="n">
        <x:f t="shared" si="8">AVERAGE(AD40:AE40)</x:f>
        <x:v>3.5</x:v>
      </x:c>
      <x:c r="AN40" s="10" t="n">
        <x:f t="shared" si="9">AVERAGE(AF40:AG40)</x:f>
        <x:v>3.5</x:v>
      </x:c>
      <x:c r="AO40" s="10" t="n">
        <x:f t="shared" si="10">AVERAGE(AH40:AI40)</x:f>
        <x:v>3.5</x:v>
      </x:c>
      <x:c r="AP40" s="8"/>
      <x:c r="AQ40" s="7">
        <x:v>145</x:v>
      </x:c>
      <x:c r="AR40" s="5">
        <x:v>2.59</x:v>
      </x:c>
      <x:c r="AS40" t="s">
        <x:v>51</x:v>
      </x:c>
      <x:c r="AT40" t="n">
        <x:f>COUNTIF(G40:N40,1)</x:f>
        <x:v>3</x:v>
      </x:c>
      <x:c r="AU40" s="5" t="n">
        <x:f>AVERAGE(AB40:AI40)</x:f>
        <x:v>3.5</x:v>
      </x:c>
      <x:c r="AV40" s="5" t="n">
        <x:f>SUMIFS($AT$2:$AT$41,$B$2:$B$41,B40,$AS$2:$AS$41,"Einschluss")/COUNTIFS($B$2:$B$41,B40,$AS$2:$AS$41,"Einschluss")</x:f>
        <x:v>4.75</x:v>
      </x:c>
      <x:c r="AW40" s="5" t="n">
        <x:f t="shared" si="11">AT40-AV40</x:f>
        <x:v>-1.75</x:v>
      </x:c>
    </x:row>
    <x:row r="41">
      <x:c r="A41" s="7">
        <x:v>299</x:v>
      </x:c>
      <x:c r="B41" s="8" t="s">
        <x:v>58</x:v>
      </x:c>
      <x:c r="C41" s="9">
        <x:v>46273.819351851998</x:v>
      </x:c>
      <x:c r="D41" s="7">
        <x:v>1</x:v>
      </x:c>
      <x:c r="E41" s="7">
        <x:v>1</x:v>
      </x:c>
      <x:c r="F41" s="8" t="s">
        <x:v>100</x:v>
      </x:c>
      <x:c r="G41" s="7">
        <x:v>1</x:v>
      </x:c>
      <x:c r="H41" s="7">
        <x:v>3</x:v>
      </x:c>
      <x:c r="I41" s="7">
        <x:v>4</x:v>
      </x:c>
      <x:c r="J41" s="7">
        <x:v>1</x:v>
      </x:c>
      <x:c r="K41" s="7">
        <x:v>3</x:v>
      </x:c>
      <x:c r="L41" s="7">
        <x:v>1</x:v>
      </x:c>
      <x:c r="M41" s="7">
        <x:v>4</x:v>
      </x:c>
      <x:c r="N41" s="7">
        <x:v>4</x:v>
      </x:c>
      <x:c r="O41" s="10" t="n">
        <x:f t="shared" si="13">IF(G41=1,1,0)</x:f>
        <x:v>1</x:v>
      </x:c>
      <x:c r="P41" s="10" t="n">
        <x:f t="shared" si="13">IF(H41=1,1,0)</x:f>
        <x:v>0</x:v>
      </x:c>
      <x:c r="Q41" s="10" t="n">
        <x:f t="shared" si="13">IF(I41=1,1,0)</x:f>
        <x:v>0</x:v>
      </x:c>
      <x:c r="R41" s="10" t="n">
        <x:f t="shared" si="13">IF(J41=1,1,0)</x:f>
        <x:v>1</x:v>
      </x:c>
      <x:c r="S41" s="10" t="n">
        <x:f t="shared" si="13">IF(K41=1,1,0)</x:f>
        <x:v>0</x:v>
      </x:c>
      <x:c r="T41" s="10" t="n">
        <x:f t="shared" si="13">IF(L41=1,1,0)</x:f>
        <x:v>1</x:v>
      </x:c>
      <x:c r="U41" s="10" t="n">
        <x:f t="shared" si="13">IF(M41=1,1,0)</x:f>
        <x:v>0</x:v>
      </x:c>
      <x:c r="V41" s="10" t="n">
        <x:f t="shared" si="12">IF(N41=1,1,0)</x:f>
        <x:v>0</x:v>
      </x:c>
      <x:c r="W41" s="11" t="n">
        <x:f t="shared" si="1">SUM(O41:V41)</x:f>
        <x:v>3</x:v>
      </x:c>
      <x:c r="X41" s="4" t="n">
        <x:f t="shared" si="2">SUM(O41:P41)</x:f>
        <x:v>1</x:v>
      </x:c>
      <x:c r="Y41" s="4" t="n">
        <x:f t="shared" si="3">SUM(Q41:R41)</x:f>
        <x:v>1</x:v>
      </x:c>
      <x:c r="Z41" s="4" t="n">
        <x:f t="shared" si="4">SUM(S41:T41)</x:f>
        <x:v>1</x:v>
      </x:c>
      <x:c r="AA41" s="4" t="n">
        <x:f t="shared" si="5">SUM(U41:V41)</x:f>
        <x:v>0</x:v>
      </x:c>
      <x:c r="AB41" s="7">
        <x:v>4</x:v>
      </x:c>
      <x:c r="AC41" s="7">
        <x:v>5</x:v>
      </x:c>
      <x:c r="AD41" s="7">
        <x:v>3</x:v>
      </x:c>
      <x:c r="AE41" s="7">
        <x:v>4</x:v>
      </x:c>
      <x:c r="AF41" s="7">
        <x:v>5</x:v>
      </x:c>
      <x:c r="AG41" s="7">
        <x:v>5</x:v>
      </x:c>
      <x:c r="AH41" s="7">
        <x:v>4</x:v>
      </x:c>
      <x:c r="AI41" s="7">
        <x:v>5</x:v>
      </x:c>
      <x:c r="AJ41" s="7">
        <x:v>2</x:v>
      </x:c>
      <x:c r="AK41" s="10" t="n">
        <x:f t="shared" si="6">AVERAGE(AB41:AI41)</x:f>
        <x:v>4.375</x:v>
      </x:c>
      <x:c r="AL41" s="10" t="n">
        <x:f t="shared" si="7">AVERAGE(AB41:AC41)</x:f>
        <x:v>4.5</x:v>
      </x:c>
      <x:c r="AM41" s="10" t="n">
        <x:f t="shared" si="8">AVERAGE(AD41:AE41)</x:f>
        <x:v>3.5</x:v>
      </x:c>
      <x:c r="AN41" s="10" t="n">
        <x:f t="shared" si="9">AVERAGE(AF41:AG41)</x:f>
        <x:v>5</x:v>
      </x:c>
      <x:c r="AO41" s="10" t="n">
        <x:f t="shared" si="10">AVERAGE(AH41:AI41)</x:f>
        <x:v>4.5</x:v>
      </x:c>
      <x:c r="AP41" s="8" t="s">
        <x:v>101</x:v>
      </x:c>
      <x:c r="AQ41" s="7">
        <x:v>970</x:v>
      </x:c>
      <x:c r="AR41" s="5">
        <x:v>0.62</x:v>
      </x:c>
      <x:c r="AS41" t="s">
        <x:v>51</x:v>
      </x:c>
      <x:c r="AT41" t="n">
        <x:f>COUNTIF(G41:N41,1)</x:f>
        <x:v>3</x:v>
      </x:c>
      <x:c r="AU41" s="5" t="n">
        <x:f>AVERAGE(AB41:AI41)</x:f>
        <x:v>4.375</x:v>
      </x:c>
      <x:c r="AV41" s="5" t="n">
        <x:f>SUMIFS($AT$2:$AT$41,$B$2:$B$41,B41,$AS$2:$AS$41,"Einschluss")/COUNTIFS($B$2:$B$41,B41,$AS$2:$AS$41,"Einschluss")</x:f>
        <x:v>4</x:v>
      </x:c>
      <x:c r="AW41" s="5" t="n">
        <x:f t="shared" si="11">AT41-AV41</x:f>
        <x:v>-1</x:v>
      </x:c>
    </x:row>
    <x:row r="42">
      <x:c r="A42" t="s">
        <x:v>102</x:v>
      </x:c>
      <x:c r="AT42" t="s">
        <x:v>103</x:v>
      </x:c>
      <x:c r="AU42" t="s">
        <x:v>104</x:v>
      </x:c>
      <x:c r="AV42" s="12"/>
      <x:c r="AW42" s="6" t="s">
        <x:v>105</x:v>
      </x:c>
    </x:row>
    <x:row r="43" s="13" customFormat="1">
      <x:c r="A43" s="174" t="str">
        <x:v>OV_GESAMT: personenbezogener objektiver Gesamtscore. Der Wert einer einzelnen Person entspricht der Summe der 8 objektiven Verständnisaufgaben (OV01–OV08). Pro korrekt gelöster Aufgabe wird 1 Punkt, pro falsch gelöster Aufgabe 0 Punkte vergeben. Der individuelle Score liegt zwischen 0 und 8 Punkten. Höhere Werte entsprechen einer höheren objektiv gemessenen räumlichen Verständnisleistung.</x:v>
      </x:c>
      <x:c r="AV43" s="14"/>
      <x:c r="AW43" s="3"/>
    </x:row>
    <x:row r="44" s="1" customFormat="1">
      <x:c r="A44" s="175" t="str">
        <x:v>SV_GESAMT: personenbezogener subjektiver Gesamtscore. Der Wert einer einzelnen Person entspricht dem Mittelwert der 8 subjektiven Bewertungsitems (SV01–SV08). Die Items werden auf einer 5-stufigen Likert-Skala von 1 = „stimme gar nicht zu“ bis 5 = „stimme voll zu“ bewertet. Der individuelle Score liegt zwischen 1 und 5. Höhere Werte entsprechen einer positiveren subjektiven Bewertung bzw. einer höheren wahrgenommenen räumlichen Verständlichkeit. SV_GLOBAL wird nicht in SV_GESAMT einbezogen, sondern separat ausgewertet.</x:v>
      </x:c>
      <x:c r="AV44" s="15"/>
      <x:c r="AW44" s="2"/>
    </x:row>
    <x:row r="45" s="16" customFormat="1">
      <x:c r="A45" s="16" t="s">
        <x:v>106</x:v>
      </x:c>
      <x:c r="AV45" s="17"/>
      <x:c r="AW45" s="18"/>
    </x:row>
    <x:row r="46">
      <x:c r="A46" s="19" t="s">
        <x:v>107</x:v>
      </x:c>
      <x:c r="AV46" s="12"/>
      <x:c r="AW46" s="6"/>
    </x:row>
    <x:row r="47">
      <x:c r="AT47" t="s">
        <x:v>108</x:v>
      </x:c>
      <x:c r="AU47" s="5"/>
      <x:c r="AV47" s="5"/>
      <x:c r="AW47" s="20" t="s">
        <x:v>109</x:v>
      </x:c>
    </x:row>
    <x:row r="48">
      <x:c r="A48" t="s">
        <x:v>110</x:v>
      </x:c>
      <x:c r="B48" t="s">
        <x:v>111</x:v>
      </x:c>
      <x:c r="C48" t="s">
        <x:v>112</x:v>
      </x:c>
      <x:c r="D48" t="str">
        <x:v>Gruppenmittelwert des OV-Individualscores</x:v>
      </x:c>
    </x:row>
    <x:row r="49">
      <x:c r="A49" t="s">
        <x:v>58</x:v>
      </x:c>
      <x:c r="B49" t="n">
        <x:f>COUNTIFS($B$2:$B$41,A49,$AS$2:$AS$41,"Einschluss")</x:f>
        <x:v>12</x:v>
      </x:c>
      <x:c r="C49" t="n">
        <x:f>COUNTIFS($B$2:$B$41,A49,$E$2:$E$41,2,$AS$2:$AS$41,"Einschluss")</x:f>
        <x:v>2</x:v>
      </x:c>
      <x:c r="D49" s="5" t="n">
        <x:f>SUMIFS($AT$2:$AT$41,$B$2:$B$41,A49,$AS$2:$AS$41,"Einschluss")/COUNTIFS($B$2:$B$41,A49,$AS$2:$AS$41,"Einschluss")</x:f>
        <x:v>4</x:v>
      </x:c>
    </x:row>
    <x:row r="50">
      <x:c r="A50" t="s">
        <x:v>49</x:v>
      </x:c>
      <x:c r="B50" t="n">
        <x:f>COUNTIFS($B$2:$B$41,A50,$AS$2:$AS$41,"Einschluss")</x:f>
        <x:v>16</x:v>
      </x:c>
      <x:c r="C50" t="n">
        <x:f>COUNTIFS($B$2:$B$41,A50,$E$2:$E$41,2,$AS$2:$AS$41,"Einschluss")</x:f>
        <x:v>1</x:v>
      </x:c>
      <x:c r="D50" s="5" t="n">
        <x:f>SUMIFS($AT$2:$AT$41,$B$2:$B$41,A50,$AS$2:$AS$41,"Einschluss")/COUNTIFS($B$2:$B$41,A50,$AS$2:$AS$41,"Einschluss")</x:f>
        <x:v>4.75</x:v>
      </x:c>
    </x:row>
    <x:row r="51">
      <x:c r="A51" t="s">
        <x:v>64</x:v>
      </x:c>
      <x:c r="B51" t="n">
        <x:f>COUNTIFS($B$2:$B$41,A51,$AS$2:$AS$41,"Einschluss")</x:f>
        <x:v>12</x:v>
      </x:c>
      <x:c r="C51" t="n">
        <x:f>COUNTIFS($B$2:$B$41,A51,$E$2:$E$41,2,$AS$2:$AS$41,"Einschluss")</x:f>
        <x:v>2</x:v>
      </x:c>
      <x:c r="D51" s="5" t="n">
        <x:f>SUMIFS($AT$2:$AT$41,$B$2:$B$41,A51,$AS$2:$AS$41,"Einschluss")/COUNTIFS($B$2:$B$41,A51,$AS$2:$AS$41,"Einschluss")</x:f>
        <x:v>5.833333333333333</x:v>
      </x:c>
    </x:row>
    <x:row r="52">
      <x:c r="A52" t="str">
        <x:v>Gesamtstichprobe</x:v>
      </x:c>
      <x:c r="B52" t="n">
        <x:f>B49+B50+B51</x:f>
        <x:v>40</x:v>
      </x:c>
      <x:c r="C52" t="n">
        <x:f>SUM(C49:C51)</x:f>
        <x:v>5</x:v>
      </x:c>
      <x:c r="D52" t="n">
        <x:f>SUMIF($AS$2:$AS$41,"Einschluss",$AT$2:$AT$41)/COUNTIF($AS$2:$AS$41,"Einschluss")</x:f>
        <x:v>4.85</x:v>
      </x:c>
    </x:row>
    <x:row r="53">
      <x:c r="B53" t="s">
        <x:v>113</x:v>
      </x:c>
      <x:c r="D53" s="145" t="str">
        <x:v>Arithmetischer Gruppenmittelwert des personenbezogenen objektiven Gesamtscores (OV_GESAMT) in der Lageplan-Gruppe.</x:v>
      </x:c>
    </x:row>
    <x:row r="59">
      <x:c r="A59" t="s">
        <x:v>114</x:v>
      </x:c>
      <x:c r="Q59" t="s">
        <x:v>115</x:v>
      </x:c>
    </x:row>
    <x:row r="60">
      <x:c r="A60" t="s">
        <x:v>1</x:v>
      </x:c>
      <x:c r="B60" t="s">
        <x:v>116</x:v>
      </x:c>
      <x:c r="C60" t="s">
        <x:v>117</x:v>
      </x:c>
      <x:c r="D60" t="s">
        <x:v>118</x:v>
      </x:c>
      <x:c r="E60" t="s">
        <x:v>119</x:v>
      </x:c>
      <x:c r="F60" t="s">
        <x:v>120</x:v>
      </x:c>
      <x:c r="G60" t="s">
        <x:v>121</x:v>
      </x:c>
      <x:c r="H60" t="s">
        <x:v>122</x:v>
      </x:c>
      <x:c r="I60" t="s">
        <x:v>123</x:v>
      </x:c>
      <x:c r="J60" t="s">
        <x:v>124</x:v>
      </x:c>
      <x:c r="K60" t="s">
        <x:v>125</x:v>
      </x:c>
      <x:c r="L60" t="s">
        <x:v>126</x:v>
      </x:c>
      <x:c r="M60" t="s">
        <x:v>127</x:v>
      </x:c>
      <x:c r="N60" t="s">
        <x:v>128</x:v>
      </x:c>
      <x:c r="O60" t="s">
        <x:v>129</x:v>
      </x:c>
      <x:c r="Q60" t="s">
        <x:v>130</x:v>
      </x:c>
      <x:c r="R60" t="s">
        <x:v>131</x:v>
      </x:c>
      <x:c r="S60" t="s">
        <x:v>132</x:v>
      </x:c>
      <x:c r="T60" t="s">
        <x:v>22</x:v>
      </x:c>
      <x:c r="U60" t="s">
        <x:v>133</x:v>
      </x:c>
      <x:c r="V60" t="s">
        <x:v>1</x:v>
      </x:c>
      <x:c r="W60" t="s">
        <x:v>134</x:v>
      </x:c>
      <x:c r="Y60" t="s">
        <x:v>135</x:v>
      </x:c>
    </x:row>
    <x:row r="61">
      <x:c r="A61" t="s">
        <x:v>130</x:v>
      </x:c>
      <x:c r="B61" t="n">
        <x:f>COUNTIFS($B$2:$B$41,"D1_2D-LAGEPLAN",$AS$2:$AS$41,"Einschluss")</x:f>
        <x:v>12</x:v>
      </x:c>
      <x:c r="C61" t="n">
        <x:f>SUMIFS($W$2:$W$41,$B$2:$B$41,"D1_2D-LAGEPLAN",$AS$2:$AS$41,"Einschluss")/COUNTIFS($B$2:$B$41,"D1_2D-LAGEPLAN",$AS$2:$AS$41,"Einschluss")</x:f>
        <x:v>4</x:v>
      </x:c>
      <x:c r="D61" t="n">
        <x:f>SUMIFS($AK$2:$AK$41,$B$2:$B$41,"D1_2D-LAGEPLAN",$AS$2:$AS$41,"Einschluss")/COUNTIFS($B$2:$B$41,"D1_2D-LAGEPLAN",$AS$2:$AS$41,"Einschluss")</x:f>
        <x:v>3.5416666666666665</x:v>
      </x:c>
      <x:c r="E61" t="n">
        <x:f>SUMIFS($AJ$2:$AJ$41,$B$2:$B$41,"D1_2D-LAGEPLAN",$AS$2:$AS$41,"Einschluss")/COUNTIFS($B$2:$B$41,"D1_2D-LAGEPLAN",$AS$2:$AS$41,"Einschluss")</x:f>
        <x:v>3.3333333333333335</x:v>
      </x:c>
      <x:c r="F61" t="n">
        <x:f>SUMIFS($X$2:$X$41,$B$2:$B$41,"D1_2D-LAGEPLAN",$AS$2:$AS$41,"Einschluss")/COUNTIFS($B$2:$B$41,"D1_2D-LAGEPLAN",$AS$2:$AS$41,"Einschluss")</x:f>
        <x:v>1.3333333333333333</x:v>
      </x:c>
      <x:c r="G61" t="n">
        <x:f>SUMIFS($Y$2:$Y$41,$B$2:$B$41,"D1_2D-LAGEPLAN",$AS$2:$AS$41,"Einschluss")/COUNTIFS($B$2:$B$41,"D1_2D-LAGEPLAN",$AS$2:$AS$41,"Einschluss")</x:f>
        <x:v>0.75</x:v>
      </x:c>
      <x:c r="H61" t="n">
        <x:f>SUMIFS($Z$2:$Z$41,$B$2:$B$41,"D1_2D-LAGEPLAN",$AS$2:$AS$41,"Einschluss")/COUNTIFS($B$2:$B$41,"D1_2D-LAGEPLAN",$AS$2:$AS$41,"Einschluss")</x:f>
        <x:v>1.1666666666666667</x:v>
      </x:c>
      <x:c r="I61" t="n">
        <x:f>SUMIFS($AA$2:$AA$41,$B$2:$B$41,"D1_2D-LAGEPLAN",$AS$2:$AS$41,"Einschluss")/COUNTIFS($B$2:$B$41,"D1_2D-LAGEPLAN",$AS$2:$AS$41,"Einschluss")</x:f>
        <x:v>0.75</x:v>
      </x:c>
      <x:c r="J61" t="n">
        <x:f>SUMIFS($AL$2:$AL$41,$B$2:$B$41,"D1_2D-LAGEPLAN",$AS$2:$AS$41,"Einschluss")/COUNTIFS($B$2:$B$41,"D1_2D-LAGEPLAN",$AS$2:$AS$41,"Einschluss")</x:f>
        <x:v>3.625</x:v>
      </x:c>
      <x:c r="K61" t="n">
        <x:f>SUMIFS($AM$2:$AM$41,$B$2:$B$41,"D1_2D-LAGEPLAN",$AS$2:$AS$41,"Einschluss")/COUNTIFS($B$2:$B$41,"D1_2D-LAGEPLAN",$AS$2:$AS$41,"Einschluss")</x:f>
        <x:v>3.5833333333333335</x:v>
      </x:c>
      <x:c r="L61" t="n">
        <x:f>SUMIFS($AN$2:$AN$41,$B$2:$B$41,"D1_2D-LAGEPLAN",$AS$2:$AS$41,"Einschluss")/COUNTIFS($B$2:$B$41,"D1_2D-LAGEPLAN",$AS$2:$AS$41,"Einschluss")</x:f>
        <x:v>4.291666666666667</x:v>
      </x:c>
      <x:c r="M61" t="n">
        <x:f>SUMIFS($AO$2:$AO$41,$B$2:$B$41,"D1_2D-LAGEPLAN",$AS$2:$AS$41,"Einschluss")/COUNTIFS($B$2:$B$41,"D1_2D-LAGEPLAN",$AS$2:$AS$41,"Einschluss")</x:f>
        <x:v>2.6666666666666665</x:v>
      </x:c>
      <x:c r="N61" t="n" cm="1">
        <x:f t="array" ref="N61">STDEV.S(_xlfn._xlws.FILTER($W$2:$W$41,($B$2:$B$41="D1_2D-LAGEPLAN")*($AS$2:$AS$41="Einschluss")))</x:f>
        <x:v>2.04494943258218</x:v>
      </x:c>
      <x:c r="O61" t="n" cm="1">
        <x:f t="array" ref="O61">STDEV.S(_xlfn._xlws.FILTER($AK$2:$AK$41,($B$2:$B$41="D1_2D-LAGEPLAN")*($AS$2:$AS$41="Einschluss")))</x:f>
        <x:v>0.6706792124858247</x:v>
      </x:c>
      <x:c r="Q61" s="21" t="n" cm="1">
        <x:f t="array" ref="Q61:Q72">_xlfn._xlws.FILTER($W$2:$W$41,$B$2:$B$41="D1_2D-LAGEPLAN")</x:f>
        <x:v>6</x:v>
      </x:c>
      <x:c r="R61" s="22" t="n" cm="1">
        <x:f t="array" ref="R61:R76">_xlfn._xlws.FILTER($W$2:$W$41,$B$2:$B$41="D2_3D-DIGITAL")</x:f>
        <x:v>2</x:v>
      </x:c>
      <x:c r="S61" s="23" t="n" cm="1">
        <x:f t="array" ref="S61:S72">_xlfn._xlws.FILTER($W$2:$W$41,$B$2:$B$41="D3_3D-DRUCK")</x:f>
        <x:v>8</x:v>
      </x:c>
      <x:c r="T61" s="21" t="n" cm="1">
        <x:f t="array" ref="T61:T100">_xlfn.VSTACK(Q61:Q72,R61:R76,S61:S72)</x:f>
        <x:v>6</x:v>
      </x:c>
      <x:c r="U61" s="21" t="n">
        <x:f>COUNTIF($T$61:$T$100,"&lt;"&amp;T61)+(COUNTIF($T$61:$T$100,T61)+1)/2</x:f>
        <x:v>29</x:v>
      </x:c>
      <x:c r="V61" t="s">
        <x:v>130</x:v>
      </x:c>
      <x:c r="W61" s="21" t="n">
        <x:f>SUM(U61:U72)</x:f>
        <x:v>181.5</x:v>
      </x:c>
      <x:c r="Y61" t="n">
        <x:f>12/(40*(40+1))*((W61^2/12)+(W62^2/16)+(W63^2/12))-3*(40+1)</x:f>
        <x:v>6.4934451219512255</x:v>
      </x:c>
    </x:row>
    <x:row r="62">
      <x:c r="A62" t="s">
        <x:v>131</x:v>
      </x:c>
      <x:c r="B62" t="n">
        <x:f>COUNTIFS($B$2:$B$41,"D2_3D-DIGITAL",$AS$2:$AS$41,"Einschluss")</x:f>
        <x:v>16</x:v>
      </x:c>
      <x:c r="C62" t="n">
        <x:f>SUMIFS($W$2:$W$41,$B$2:$B$41,"D2_3D-DIGITAL",$AS$2:$AS$41,"Einschluss")/COUNTIFS($B$2:$B$41,"D2_3D-DIGITAL",$AS$2:$AS$41,"Einschluss")</x:f>
        <x:v>4.75</x:v>
      </x:c>
      <x:c r="D62" t="n">
        <x:f>SUMIFS($AK$2:$AK$41,$B$2:$B$41,"D2_3D-DIGITAL",$AS$2:$AS$41,"Einschluss")/COUNTIFS($B$2:$B$41,"D2_3D-DIGITAL",$AS$2:$AS$41,"Einschluss")</x:f>
        <x:v>3.40625</x:v>
      </x:c>
      <x:c r="E62" t="n">
        <x:f>SUMIFS($AJ$2:$AJ$41,$B$2:$B$41,"D2_3D-DIGITAL",$AS$2:$AS$41,"Einschluss")/COUNTIFS($B$2:$B$41,"D2_3D-DIGITAL",$AS$2:$AS$41,"Einschluss")</x:f>
        <x:v>3.6875</x:v>
      </x:c>
      <x:c r="F62" t="n">
        <x:f>SUMIFS($X$2:$X$41,$B$2:$B$41,"D2_3D-DIGITAL",$AS$2:$AS$41,"Einschluss")/COUNTIFS($B$2:$B$41,"D2_3D-DIGITAL",$AS$2:$AS$41,"Einschluss")</x:f>
        <x:v>1.625</x:v>
      </x:c>
      <x:c r="G62" t="n">
        <x:f>SUMIFS($Y$2:$Y$41,$B$2:$B$41,"D2_3D-DIGITAL",$AS$2:$AS$41,"Einschluss")/COUNTIFS($B$2:$B$41,"D2_3D-DIGITAL",$AS$2:$AS$41,"Einschluss")</x:f>
        <x:v>1.25</x:v>
      </x:c>
      <x:c r="H62" t="n">
        <x:f>SUMIFS($Z$2:$Z$41,$B$2:$B$41,"D2_3D-DIGITAL",$AS$2:$AS$41,"Einschluss")/COUNTIFS($B$2:$B$41,"D2_3D-DIGITAL",$AS$2:$AS$41,"Einschluss")</x:f>
        <x:v>1.4375</x:v>
      </x:c>
      <x:c r="I62" t="n">
        <x:f>SUMIFS($AA$2:$AA$41,$B$2:$B$41,"D2_3D-DIGITAL",$AS$2:$AS$41,"Einschluss")/COUNTIFS($B$2:$B$41,"D2_3D-DIGITAL",$AS$2:$AS$41,"Einschluss")</x:f>
        <x:v>0.4375</x:v>
      </x:c>
      <x:c r="J62" t="n">
        <x:f>SUMIFS($AL$2:$AL$41,$B$2:$B$41,"D2_3D-DIGITAL",$AS$2:$AS$41,"Einschluss")/COUNTIFS($B$2:$B$41,"D2_3D-DIGITAL",$AS$2:$AS$41,"Einschluss")</x:f>
        <x:v>3.65625</x:v>
      </x:c>
      <x:c r="K62" t="n">
        <x:f>SUMIFS($AM$2:$AM$41,$B$2:$B$41,"D2_3D-DIGITAL",$AS$2:$AS$41,"Einschluss")/COUNTIFS($B$2:$B$41,"D2_3D-DIGITAL",$AS$2:$AS$41,"Einschluss")</x:f>
        <x:v>3.96875</x:v>
      </x:c>
      <x:c r="L62" t="n">
        <x:f>SUMIFS($AN$2:$AN$41,$B$2:$B$41,"D2_3D-DIGITAL",$AS$2:$AS$41,"Einschluss")/COUNTIFS($B$2:$B$41,"D2_3D-DIGITAL",$AS$2:$AS$41,"Einschluss")</x:f>
        <x:v>3.75</x:v>
      </x:c>
      <x:c r="M62" t="n">
        <x:f>SUMIFS($AO$2:$AO$41,$B$2:$B$41,"D2_3D-DIGITAL",$AS$2:$AS$41,"Einschluss")/COUNTIFS($B$2:$B$41,"D2_3D-DIGITAL",$AS$2:$AS$41,"Einschluss")</x:f>
        <x:v>2.25</x:v>
      </x:c>
      <x:c r="N62" t="n" cm="1">
        <x:f t="array" ref="N62">STDEV.S(_xlfn._xlws.FILTER($W$2:$W$41,($B$2:$B$41="D2_3D-DIGITAL")*($AS$2:$AS$41="Einschluss")))</x:f>
        <x:v>1.2909944487358056</x:v>
      </x:c>
      <x:c r="O62" t="n" cm="1">
        <x:f t="array" ref="O62">STDEV.S(_xlfn._xlws.FILTER($AK$2:$AK$41,($B$2:$B$41="D2_3D-DIGITAL")*($AS$2:$AS$41="Einschluss")))</x:f>
        <x:v>0.5942432162002357</x:v>
      </x:c>
      <x:c r="Q62" s="21" t="n">
        <x:v>3</x:v>
      </x:c>
      <x:c r="R62" s="22" t="n">
        <x:v>4</x:v>
      </x:c>
      <x:c r="S62" s="23" t="n">
        <x:v>7</x:v>
      </x:c>
      <x:c r="T62" s="21" t="n">
        <x:v>3</x:v>
      </x:c>
      <x:c r="U62" s="21" t="n">
        <x:f t="shared" ref="U62:U100" si="14">COUNTIF($T$61:$T$100,"&lt;"&amp;T62)+(COUNTIF($T$61:$T$100,T62)+1)/2</x:f>
        <x:v>6.5</x:v>
      </x:c>
      <x:c r="V62" t="s">
        <x:v>131</x:v>
      </x:c>
      <x:c r="W62" s="22" t="n">
        <x:f>SUM(U73:U88)</x:f>
        <x:v>313</x:v>
      </x:c>
      <x:c r="Y62" t="s">
        <x:v>136</x:v>
      </x:c>
    </x:row>
    <x:row r="63">
      <x:c r="A63" t="s">
        <x:v>132</x:v>
      </x:c>
      <x:c r="B63" t="n">
        <x:f>COUNTIFS($B$2:$B$41,"D3_3D-DRUCK",$AS$2:$AS$41,"Einschluss")</x:f>
        <x:v>12</x:v>
      </x:c>
      <x:c r="C63" t="n">
        <x:f>SUMIFS($W$2:$W$41,$B$2:$B$41,"D3_3D-DRUCK",$AS$2:$AS$41,"Einschluss")/COUNTIFS($B$2:$B$41,"D3_3D-DRUCK",$AS$2:$AS$41,"Einschluss")</x:f>
        <x:v>5.833333333333333</x:v>
      </x:c>
      <x:c r="D63" t="n">
        <x:f>SUMIFS($AK$2:$AK$41,$B$2:$B$41,"D3_3D-DRUCK",$AS$2:$AS$41,"Einschluss")/COUNTIFS($B$2:$B$41,"D3_3D-DRUCK",$AS$2:$AS$41,"Einschluss")</x:f>
        <x:v>3.875</x:v>
      </x:c>
      <x:c r="E63" t="n">
        <x:f>SUMIFS($AJ$2:$AJ$41,$B$2:$B$41,"D3_3D-DRUCK",$AS$2:$AS$41,"Einschluss")/COUNTIFS($B$2:$B$41,"D3_3D-DRUCK",$AS$2:$AS$41,"Einschluss")</x:f>
        <x:v>3.4166666666666665</x:v>
      </x:c>
      <x:c r="F63" t="n">
        <x:f>SUMIFS($X$2:$X$41,$B$2:$B$41,"D3_3D-DRUCK",$AS$2:$AS$41,"Einschluss")/COUNTIFS($B$2:$B$41,"D3_3D-DRUCK",$AS$2:$AS$41,"Einschluss")</x:f>
        <x:v>1.75</x:v>
      </x:c>
      <x:c r="G63" t="n">
        <x:f>SUMIFS($Y$2:$Y$41,$B$2:$B$41,"D3_3D-DRUCK",$AS$2:$AS$41,"Einschluss")/COUNTIFS($B$2:$B$41,"D3_3D-DRUCK",$AS$2:$AS$41,"Einschluss")</x:f>
        <x:v>1.25</x:v>
      </x:c>
      <x:c r="H63" t="n">
        <x:f>SUMIFS($Z$2:$Z$41,$B$2:$B$41,"D3_3D-DRUCK",$AS$2:$AS$41,"Einschluss")/COUNTIFS($B$2:$B$41,"D3_3D-DRUCK",$AS$2:$AS$41,"Einschluss")</x:f>
        <x:v>1.5833333333333333</x:v>
      </x:c>
      <x:c r="I63" t="n">
        <x:f>SUMIFS($AA$2:$AA$41,$B$2:$B$41,"D3_3D-DRUCK",$AS$2:$AS$41,"Einschluss")/COUNTIFS($B$2:$B$41,"D3_3D-DRUCK",$AS$2:$AS$41,"Einschluss")</x:f>
        <x:v>1.25</x:v>
      </x:c>
      <x:c r="J63" t="n">
        <x:f>SUMIFS($AL$2:$AL$41,$B$2:$B$41,"D3_3D-DRUCK",$AS$2:$AS$41,"Einschluss")/COUNTIFS($B$2:$B$41,"D3_3D-DRUCK",$AS$2:$AS$41,"Einschluss")</x:f>
        <x:v>4.291666666666667</x:v>
      </x:c>
      <x:c r="K63" t="n">
        <x:f>SUMIFS($AM$2:$AM$41,$B$2:$B$41,"D3_3D-DRUCK",$AS$2:$AS$41,"Einschluss")/COUNTIFS($B$2:$B$41,"D3_3D-DRUCK",$AS$2:$AS$41,"Einschluss")</x:f>
        <x:v>4</x:v>
      </x:c>
      <x:c r="L63" t="n">
        <x:f>SUMIFS($AN$2:$AN$41,$B$2:$B$41,"D3_3D-DRUCK",$AS$2:$AS$41,"Einschluss")/COUNTIFS($B$2:$B$41,"D3_3D-DRUCK",$AS$2:$AS$41,"Einschluss")</x:f>
        <x:v>4.25</x:v>
      </x:c>
      <x:c r="M63" t="n">
        <x:f>SUMIFS($AO$2:$AO$41,$B$2:$B$41,"D3_3D-DRUCK",$AS$2:$AS$41,"Einschluss")/COUNTIFS($B$2:$B$41,"D3_3D-DRUCK",$AS$2:$AS$41,"Einschluss")</x:f>
        <x:v>2.9583333333333335</x:v>
      </x:c>
      <x:c r="N63" t="n" cm="1">
        <x:f t="array" ref="N63">STDEV.S(_xlfn._xlws.FILTER($W$2:$W$41,($B$2:$B$41="D3_3D-DRUCK")*($AS$2:$AS$41="Einschluss")))</x:f>
        <x:v>1.5859229221975182</x:v>
      </x:c>
      <x:c r="O63" t="n" cm="1">
        <x:f t="array" ref="O63">STDEV.S(_xlfn._xlws.FILTER($AK$2:$AK$41,($B$2:$B$41="D3_3D-DRUCK")*($AS$2:$AS$41="Einschluss")))</x:f>
        <x:v>0.3988620176087328</x:v>
      </x:c>
      <x:c r="Q63" s="21" t="n">
        <x:v>4</x:v>
      </x:c>
      <x:c r="R63" s="22" t="n">
        <x:v>5</x:v>
      </x:c>
      <x:c r="S63" s="23" t="n">
        <x:v>5</x:v>
      </x:c>
      <x:c r="T63" s="21" t="n">
        <x:v>4</x:v>
      </x:c>
      <x:c r="U63" s="21">
        <x:f t="shared" si="14"/>
        <x:v>13.5</x:v>
      </x:c>
      <x:c r="V63" t="s">
        <x:v>132</x:v>
      </x:c>
      <x:c r="W63" s="23" t="n">
        <x:f>SUM(U89:U100)</x:f>
        <x:v>325.5</x:v>
      </x:c>
      <x:c r="Y63" t="n">
        <x:f>1-((COUNTIF($T$61:$T$100,0)^3-COUNTIF($T$61:$T$100,0))+(COUNTIF($T$61:$T$100,1)^3-COUNTIF($T$61:$T$100,1))+(COUNTIF($T$61:$T$100,2)^3-COUNTIF($T$61:$T$100,2))+(COUNTIF($T$61:$T$100,3)^3-COUNTIF($T$61:$T$100,3))+(COUNTIF($T$61:$T$100,4)^3-COUNTIF($T$61:$T$100,4))+(COUNTIF($T$61:$T$100,5)^3-COUNTIF($T$61:$T$100,5))+(COUNTIF($T$61:$T$100,6)^3-COUNTIF($T$61:$T$100,6))+(COUNTIF($T$61:$T$100,7)^3-COUNTIF($T$61:$T$100,7))+(COUNTIF($T$61:$T$100,8)^3-COUNTIF($T$61:$T$100,8)))/(40^3-40)</x:f>
        <x:v>0.9702626641651032</x:v>
      </x:c>
    </x:row>
    <x:row r="64">
      <x:c r="A64" t="str">
        <x:v>Gesamtstichprobe</x:v>
      </x:c>
      <x:c r="B64" t="n">
        <x:f>COUNTIF($AS$2:$AS$41,"Einschluss")</x:f>
        <x:v>40</x:v>
      </x:c>
      <x:c r="C64" t="n">
        <x:f>SUMIF($AS$2:$AS$41,"Einschluss",$W$2:$W$41)/COUNTIF($AS$2:$AS$41,"Einschluss")</x:f>
        <x:v>4.85</x:v>
      </x:c>
      <x:c r="D64" t="n">
        <x:f>SUMIF($AS$2:$AS$41,"Einschluss",$AK$2:$AK$41)/COUNTIF($AS$2:$AS$41,"Einschluss")</x:f>
        <x:v>3.5875</x:v>
      </x:c>
      <x:c r="E64" t="n">
        <x:f>SUMIF($AS$2:$AS$41,"Einschluss",$AJ$2:$AJ$41)/COUNTIF($AS$2:$AS$41,"Einschluss")</x:f>
        <x:v>3.5</x:v>
      </x:c>
      <x:c r="F64" t="n">
        <x:f>SUMIF($AS$2:$AS$41,"Einschluss",$X$2:$X$41)/COUNTIF($AS$2:$AS$41,"Einschluss")</x:f>
        <x:v>1.575</x:v>
      </x:c>
      <x:c r="G64" t="n">
        <x:f>SUMIF($AS$2:$AS$41,"Einschluss",$Y$2:$Y$41)/COUNTIF($AS$2:$AS$41,"Einschluss")</x:f>
        <x:v>1.1</x:v>
      </x:c>
      <x:c r="H64" t="n">
        <x:f>SUMIF($AS$2:$AS$41,"Einschluss",$Z$2:$Z$41)/COUNTIF($AS$2:$AS$41,"Einschluss")</x:f>
        <x:v>1.4</x:v>
      </x:c>
      <x:c r="I64" t="n">
        <x:f>SUMIF($AS$2:$AS$41,"Einschluss",$AA$2:$AA$41)/COUNTIF($AS$2:$AS$41,"Einschluss")</x:f>
        <x:v>0.775</x:v>
      </x:c>
      <x:c r="J64" t="n">
        <x:f>SUMIF($AS$2:$AS$41,"Einschluss",$AL$2:$AL$41)/COUNTIF($AS$2:$AS$41,"Einschluss")</x:f>
        <x:v>3.8375</x:v>
      </x:c>
      <x:c r="K64" t="n">
        <x:f>SUMIF($AS$2:$AS$41,"Einschluss",$AM$2:$AM$41)/COUNTIF($AS$2:$AS$41,"Einschluss")</x:f>
        <x:v>3.8625</x:v>
      </x:c>
      <x:c r="L64" t="n">
        <x:f>SUMIF($AS$2:$AS$41,"Einschluss",$AN$2:$AN$41)/COUNTIF($AS$2:$AS$41,"Einschluss")</x:f>
        <x:v>4.0625</x:v>
      </x:c>
      <x:c r="M64" t="n">
        <x:f>SUMIF($AS$2:$AS$41,"Einschluss",$AO$2:$AO$41)/COUNTIF($AS$2:$AS$41,"Einschluss")</x:f>
        <x:v>2.5875</x:v>
      </x:c>
      <x:c r="N64" t="n">
        <x:f>STDEV.S(_xlfn._xlws.FILTER($W$2:$W$41,$AS$2:$AS$41="Einschluss"))</x:f>
        <x:v>1.747525723371806</x:v>
      </x:c>
      <x:c r="O64" t="n">
        <x:f>STDEV.S(_xlfn._xlws.FILTER($AK$2:$AK$41,$AS$2:$AS$41="Einschluss"))</x:f>
        <x:v>0.5891649892987401</x:v>
      </x:c>
      <x:c r="Q64" s="21" t="n">
        <x:v>4</x:v>
      </x:c>
      <x:c r="R64" s="22" t="n">
        <x:v>6</x:v>
      </x:c>
      <x:c r="S64" s="23" t="n">
        <x:v>6</x:v>
      </x:c>
      <x:c r="T64" s="21" t="n">
        <x:v>4</x:v>
      </x:c>
      <x:c r="U64" s="21">
        <x:f t="shared" si="14"/>
        <x:v>13.5</x:v>
      </x:c>
    </x:row>
    <x:row r="65">
      <x:c r="Q65" s="21" t="n">
        <x:v>3</x:v>
      </x:c>
      <x:c r="R65" s="22" t="n">
        <x:v>5</x:v>
      </x:c>
      <x:c r="S65" s="23" t="n">
        <x:v>5</x:v>
      </x:c>
      <x:c r="T65" s="21" t="n">
        <x:v>3</x:v>
      </x:c>
      <x:c r="U65" s="21">
        <x:f t="shared" si="14"/>
        <x:v>6.5</x:v>
      </x:c>
      <x:c r="Y65" t="s">
        <x:v>137</x:v>
      </x:c>
    </x:row>
    <x:row r="66">
      <x:c r="A66" t="s">
        <x:v>138</x:v>
      </x:c>
      <x:c r="Q66" s="21" t="n">
        <x:v>8</x:v>
      </x:c>
      <x:c r="R66" s="22" t="n">
        <x:v>4</x:v>
      </x:c>
      <x:c r="S66" s="23" t="n">
        <x:v>7</x:v>
      </x:c>
      <x:c r="T66" s="21" t="n">
        <x:v>8</x:v>
      </x:c>
      <x:c r="U66" s="21">
        <x:f t="shared" si="14"/>
        <x:v>39.5</x:v>
      </x:c>
      <x:c r="Y66" t="n">
        <x:f>Y61/Y63</x:f>
        <x:v>6.692461084791653</x:v>
      </x:c>
    </x:row>
    <x:row r="67">
      <x:c r="A67" s="145" t="str">
        <x:v>OV_GESAMT_MW: Gruppenmittelwert der personenbezogenen objektiven Gesamtscores OV_GESAMT (0–8 Punkte) innerhalb der jeweiligen Darstellungsform. Grundlage sind die 8 objektiven Verständnisaufgaben OV01–OV08. Höhere Werte = höhere mittlere objektive Leistung der Gruppe.</x:v>
      </x:c>
      <x:c r="Q67" s="21" t="n">
        <x:v>1</x:v>
      </x:c>
      <x:c r="R67" s="22" t="n">
        <x:v>6</x:v>
      </x:c>
      <x:c r="S67" s="23" t="n">
        <x:v>7</x:v>
      </x:c>
      <x:c r="T67" s="21" t="n">
        <x:v>1</x:v>
      </x:c>
      <x:c r="U67" s="21">
        <x:f t="shared" si="14"/>
        <x:v>1.5</x:v>
      </x:c>
    </x:row>
    <x:row r="68">
      <x:c r="A68" s="145" t="str">
        <x:v>SV_GESAMT_MW: Gruppenmittelwert der personenbezogenen subjektiven Gesamtscores SV_GESAMT (1–5) innerhalb der jeweiligen Darstellungsform. Grundlage sind die 8 SV-Items. Höhere Werte = positivere mittlere subjektive Bewertung der Gruppe.</x:v>
      </x:c>
      <x:c r="Q68" s="21" t="n">
        <x:v>5</x:v>
      </x:c>
      <x:c r="R68" s="22" t="n">
        <x:v>4</x:v>
      </x:c>
      <x:c r="S68" s="23" t="n">
        <x:v>3</x:v>
      </x:c>
      <x:c r="T68" s="21" t="n">
        <x:v>5</x:v>
      </x:c>
      <x:c r="U68" s="21">
        <x:f t="shared" si="14"/>
        <x:v>21</x:v>
      </x:c>
      <x:c r="Y68" t="s">
        <x:v>139</x:v>
      </x:c>
    </x:row>
    <x:row r="69">
      <x:c r="A69" s="145" t="s">
        <x:v>140</x:v>
      </x:c>
      <x:c r="Q69" s="21" t="n">
        <x:v>4</x:v>
      </x:c>
      <x:c r="R69" s="22" t="n">
        <x:v>5</x:v>
      </x:c>
      <x:c r="S69" s="23" t="n">
        <x:v>3</x:v>
      </x:c>
      <x:c r="T69" s="21" t="n">
        <x:v>4</x:v>
      </x:c>
      <x:c r="U69" s="21">
        <x:f t="shared" si="14"/>
        <x:v>13.5</x:v>
      </x:c>
      <x:c r="Y69" s="24" t="n">
        <x:v>0.03521685265314855</x:v>
      </x:c>
    </x:row>
    <x:row r="70">
      <x:c r="A70" s="145" t="s">
        <x:v>141</x:v>
      </x:c>
      <x:c r="Q70" s="21" t="n">
        <x:v>6</x:v>
      </x:c>
      <x:c r="R70" s="22" t="n">
        <x:v>7</x:v>
      </x:c>
      <x:c r="S70" s="23" t="n">
        <x:v>6</x:v>
      </x:c>
      <x:c r="T70" s="21" t="n">
        <x:v>6</x:v>
      </x:c>
      <x:c r="U70" s="21">
        <x:f t="shared" si="14"/>
        <x:v>29</x:v>
      </x:c>
    </x:row>
    <x:row r="71">
      <x:c r="A71" s="145" t="s">
        <x:v>142</x:v>
      </x:c>
      <x:c r="Q71" s="21" t="n">
        <x:v>1</x:v>
      </x:c>
      <x:c r="R71" s="22" t="n">
        <x:v>4</x:v>
      </x:c>
      <x:c r="S71" s="23" t="n">
        <x:v>6</x:v>
      </x:c>
      <x:c r="T71" s="21" t="n">
        <x:v>1</x:v>
      </x:c>
      <x:c r="U71" s="21">
        <x:f t="shared" si="14"/>
        <x:v>1.5</x:v>
      </x:c>
      <x:c r="Y71" t="s">
        <x:v>143</x:v>
      </x:c>
    </x:row>
    <x:row r="72">
      <x:c r="A72" s="145" t="str">
        <x:v>OV_GESAMT_SD: Standardabweichung der personenbezogenen OV_GESAMT-Scores innerhalb der jeweiligen Darstellungsform; beschreibt die Streuung der individuellen Scores um den Gruppenmittelwert. Höhere Werte = größere Streuung.</x:v>
      </x:c>
      <x:c r="Q72" s="21" t="n">
        <x:v>3</x:v>
      </x:c>
      <x:c r="R72" s="22" t="n">
        <x:v>4</x:v>
      </x:c>
      <x:c r="S72" s="23" t="n">
        <x:v>7</x:v>
      </x:c>
      <x:c r="T72" s="21" t="n">
        <x:v>3</x:v>
      </x:c>
      <x:c r="U72" s="21">
        <x:f t="shared" si="14"/>
        <x:v>6.5</x:v>
      </x:c>
      <x:c r="Y72" s="24" t="n">
        <x:f>AVERAGE(U61:U72)</x:f>
        <x:v>15.125</x:v>
      </x:c>
    </x:row>
    <x:row r="73">
      <x:c r="A73" s="145" t="str">
        <x:v>SV_GESAMT_SD: Standardabweichung der personenbezogenen SV_GESAMT-Scores innerhalb der jeweiligen Darstellungsform; beschreibt die Streuung der individuellen Scores um den Gruppenmittelwert. Höhere Werte = größere Streuung.</x:v>
      </x:c>
      <x:c r="R73" s="22" t="n">
        <x:v>5</x:v>
      </x:c>
      <x:c r="T73" s="22" t="n">
        <x:v>2</x:v>
      </x:c>
      <x:c r="U73" s="22">
        <x:f t="shared" si="14"/>
        <x:v>3</x:v>
      </x:c>
      <x:c r="Y73" t="s">
        <x:v>144</x:v>
      </x:c>
    </x:row>
    <x:row r="74">
      <x:c r="R74" s="22" t="n">
        <x:v>6</x:v>
      </x:c>
      <x:c r="T74" s="22" t="n">
        <x:v>4</x:v>
      </x:c>
      <x:c r="U74" s="22">
        <x:f t="shared" si="14"/>
        <x:v>13.5</x:v>
      </x:c>
      <x:c r="Y74" s="24" t="n">
        <x:f>AVERAGE(U73:U88)</x:f>
        <x:v>19.5625</x:v>
      </x:c>
    </x:row>
    <x:row r="75">
      <x:c r="R75" s="22" t="n">
        <x:v>6</x:v>
      </x:c>
      <x:c r="T75" s="22" t="n">
        <x:v>5</x:v>
      </x:c>
      <x:c r="U75" s="22">
        <x:f t="shared" si="14"/>
        <x:v>21</x:v>
      </x:c>
      <x:c r="Y75" t="s">
        <x:v>145</x:v>
      </x:c>
    </x:row>
    <x:row r="76">
      <x:c r="R76" s="22" t="n">
        <x:v>3</x:v>
      </x:c>
      <x:c r="T76" s="22" t="n">
        <x:v>6</x:v>
      </x:c>
      <x:c r="U76" s="22">
        <x:f t="shared" si="14"/>
        <x:v>29</x:v>
      </x:c>
      <x:c r="Y76" t="n">
        <x:f>ABS(Y72-Y74)</x:f>
        <x:v>4.4375</x:v>
      </x:c>
    </x:row>
    <x:row r="77">
      <x:c r="T77" s="22" t="n">
        <x:v>5</x:v>
      </x:c>
      <x:c r="U77" s="22">
        <x:f t="shared" si="14"/>
        <x:v>21</x:v>
      </x:c>
      <x:c r="Y77" t="s">
        <x:v>146</x:v>
      </x:c>
    </x:row>
    <x:row r="78">
      <x:c r="T78" s="22" t="n">
        <x:v>4</x:v>
      </x:c>
      <x:c r="U78" s="22">
        <x:f t="shared" si="14"/>
        <x:v>13.5</x:v>
      </x:c>
      <x:c r="Y78" s="5" t="n">
        <x:f>SQRT((40*41/12)*(1/12+1/16)*Y63)</x:f>
        <x:v>4.397484955247025</x:v>
      </x:c>
    </x:row>
    <x:row r="79">
      <x:c r="T79" s="22" t="n">
        <x:v>6</x:v>
      </x:c>
      <x:c r="U79" s="22">
        <x:f t="shared" si="14"/>
        <x:v>29</x:v>
      </x:c>
      <x:c r="Y79" t="s">
        <x:v>147</x:v>
      </x:c>
    </x:row>
    <x:row r="80">
      <x:c r="T80" s="22" t="n">
        <x:v>4</x:v>
      </x:c>
      <x:c r="U80" s="22">
        <x:f t="shared" si="14"/>
        <x:v>13.5</x:v>
      </x:c>
      <x:c r="Y80" t="n">
        <x:f>Y76/Y78</x:f>
        <x:v>1.0090995296539285</x:v>
      </x:c>
    </x:row>
    <x:row r="81">
      <x:c r="T81" s="22" t="n">
        <x:v>5</x:v>
      </x:c>
      <x:c r="U81" s="22">
        <x:f t="shared" si="14"/>
        <x:v>21</x:v>
      </x:c>
      <x:c r="Y81" t="s">
        <x:v>148</x:v>
      </x:c>
    </x:row>
    <x:row r="82">
      <x:c r="T82" s="22" t="n">
        <x:v>7</x:v>
      </x:c>
      <x:c r="U82" s="22">
        <x:f t="shared" si="14"/>
        <x:v>36</x:v>
      </x:c>
      <x:c r="Y82" t="n">
        <x:f>2*(1-_xlfn.NORM.S.DIST(ABS(Y80),TRUE))</x:f>
        <x:v>0.3129269035450448</x:v>
      </x:c>
    </x:row>
    <x:row r="83">
      <x:c r="T83" s="22" t="n">
        <x:v>4</x:v>
      </x:c>
      <x:c r="U83" s="22">
        <x:f t="shared" si="14"/>
        <x:v>13.5</x:v>
      </x:c>
      <x:c r="Y83" t="s">
        <x:v>149</x:v>
      </x:c>
    </x:row>
    <x:row r="84">
      <x:c r="T84" s="22" t="n">
        <x:v>4</x:v>
      </x:c>
      <x:c r="U84" s="22">
        <x:f t="shared" si="14"/>
        <x:v>13.5</x:v>
      </x:c>
      <x:c r="Y84" t="n">
        <x:f>AVERAGE(U89:U100)</x:f>
        <x:v>27.125</x:v>
      </x:c>
    </x:row>
    <x:row r="85">
      <x:c r="T85" s="22" t="n">
        <x:v>5</x:v>
      </x:c>
      <x:c r="U85" s="22">
        <x:f t="shared" si="14"/>
        <x:v>21</x:v>
      </x:c>
      <x:c r="Y85" t="s">
        <x:v>150</x:v>
      </x:c>
    </x:row>
    <x:row r="86">
      <x:c r="T86" s="22" t="n">
        <x:v>6</x:v>
      </x:c>
      <x:c r="U86" s="22">
        <x:f t="shared" si="14"/>
        <x:v>29</x:v>
      </x:c>
      <x:c r="Y86" t="n">
        <x:f>ABS(Y72-Y84)</x:f>
        <x:v>12</x:v>
      </x:c>
    </x:row>
    <x:row r="87">
      <x:c r="T87" s="22" t="n">
        <x:v>6</x:v>
      </x:c>
      <x:c r="U87" s="22">
        <x:f t="shared" si="14"/>
        <x:v>29</x:v>
      </x:c>
      <x:c r="Y87" t="s">
        <x:v>151</x:v>
      </x:c>
    </x:row>
    <x:row r="88">
      <x:c r="T88" s="22" t="n">
        <x:v>3</x:v>
      </x:c>
      <x:c r="U88" s="22">
        <x:f t="shared" si="14"/>
        <x:v>6.5</x:v>
      </x:c>
      <x:c r="Y88" t="n">
        <x:f>SQRT((40*41/12)*(1/12+1/12)*Y63)</x:f>
        <x:v>4.701109161722088</x:v>
      </x:c>
    </x:row>
    <x:row r="89">
      <x:c r="T89" s="23" t="n">
        <x:v>8</x:v>
      </x:c>
      <x:c r="U89" s="23" t="n">
        <x:f>COUNTIF($T$61:$T$100,"&lt;"&amp;T89)+(COUNTIF($T$61:$T$100,T89)+1)/2</x:f>
        <x:v>39.5</x:v>
      </x:c>
    </x:row>
    <x:row r="90">
      <x:c r="T90" s="23" t="n">
        <x:v>7</x:v>
      </x:c>
      <x:c r="U90" s="23">
        <x:f t="shared" si="14"/>
        <x:v>36</x:v>
      </x:c>
    </x:row>
    <x:row r="91">
      <x:c r="T91" s="23" t="n">
        <x:v>5</x:v>
      </x:c>
      <x:c r="U91" s="23">
        <x:f t="shared" si="14"/>
        <x:v>21</x:v>
      </x:c>
    </x:row>
    <x:row r="92">
      <x:c r="T92" s="23" t="n">
        <x:v>6</x:v>
      </x:c>
      <x:c r="U92" s="23">
        <x:f t="shared" si="14"/>
        <x:v>29</x:v>
      </x:c>
    </x:row>
    <x:row r="93">
      <x:c r="T93" s="23" t="n">
        <x:v>5</x:v>
      </x:c>
      <x:c r="U93" s="23">
        <x:f t="shared" si="14"/>
        <x:v>21</x:v>
      </x:c>
    </x:row>
    <x:row r="94">
      <x:c r="T94" s="23" t="n">
        <x:v>7</x:v>
      </x:c>
      <x:c r="U94" s="23">
        <x:f t="shared" si="14"/>
        <x:v>36</x:v>
      </x:c>
    </x:row>
    <x:row r="95">
      <x:c r="T95" s="23" t="n">
        <x:v>7</x:v>
      </x:c>
      <x:c r="U95" s="23">
        <x:f t="shared" si="14"/>
        <x:v>36</x:v>
      </x:c>
    </x:row>
    <x:row r="96">
      <x:c r="T96" s="23" t="n">
        <x:v>3</x:v>
      </x:c>
      <x:c r="U96" s="23">
        <x:f t="shared" si="14"/>
        <x:v>6.5</x:v>
      </x:c>
    </x:row>
    <x:row r="97">
      <x:c r="T97" s="23" t="n">
        <x:v>3</x:v>
      </x:c>
      <x:c r="U97" s="23">
        <x:f t="shared" si="14"/>
        <x:v>6.5</x:v>
      </x:c>
    </x:row>
    <x:row r="98">
      <x:c r="T98" s="23" t="n">
        <x:v>6</x:v>
      </x:c>
      <x:c r="U98" s="23">
        <x:f t="shared" si="14"/>
        <x:v>29</x:v>
      </x:c>
    </x:row>
    <x:row r="99">
      <x:c r="T99" s="23" t="n">
        <x:v>6</x:v>
      </x:c>
      <x:c r="U99" s="23">
        <x:f t="shared" si="14"/>
        <x:v>29</x:v>
      </x:c>
    </x:row>
    <x:row r="100">
      <x:c r="T100" s="23" t="n">
        <x:v>7</x:v>
      </x:c>
      <x:c r="U100" s="23">
        <x:f t="shared" si="14"/>
        <x:v>36</x:v>
      </x:c>
    </x:row>
    <x:row r="102">
      <x:c r="Q102" s="145" t="str">
        <x:v>OV_GESAMT: personenbezogener objektiver Gesamtscore aus der Summe der 8 objektiven Verständnisaufgaben (OV01–OV08). Pro korrekt gelöster Aufgabe wird 1 Punkt, pro falsch gelöster Aufgabe 0 Punkte vergeben. Der individuelle Score liegt zwischen 0 und 8 Punkten.</x:v>
      </x:c>
    </x:row>
    <x:row r="103">
      <x:c r="Q103" s="145" t="str">
        <x:v>OV_GESAMT_MW: Gruppenmittelwert der personenbezogenen OV_GESAMT-Scores innerhalb der jeweiligen Darstellungsform.</x:v>
      </x:c>
    </x:row>
    <x:row r="104">
      <x:c r="Q104" s="145" t="str">
        <x:v>OV_GESAMT_SD: Standardabweichung der personenbezogenen OV_GESAMT-Scores innerhalb der jeweiligen Darstellungsform. Höhere Werte = stärkere Streuung der individuellen Leistungen.</x:v>
      </x:c>
    </x:row>
    <x:row r="105">
      <x:c r="Q105" t="str">
        <x:v>Kruskal-Wallis-Test: Die drei unabhängigen Darstellungsgruppen unterscheiden sich hinsichtlich der objektiven räumlichen Verständnisleistung. H = 6,692; df = 2; p = 0,035. Post-hoc-Vergleiche sind daher erforderlich.</x:v>
      </x:c>
    </x:row>
    <x:row r="109">
      <x:c r="Q109" t="s">
        <x:v>152</x:v>
      </x:c>
    </x:row>
    <x:row r="110">
      <x:c r="Q110" t="s">
        <x:v>130</x:v>
      </x:c>
      <x:c r="R110" t="s">
        <x:v>131</x:v>
      </x:c>
      <x:c r="S110" t="s">
        <x:v>132</x:v>
      </x:c>
      <x:c r="T110" t="s">
        <x:v>36</x:v>
      </x:c>
      <x:c r="U110" t="s">
        <x:v>153</x:v>
      </x:c>
      <x:c r="V110" t="s">
        <x:v>1</x:v>
      </x:c>
      <x:c r="W110" t="s">
        <x:v>134</x:v>
      </x:c>
      <x:c r="Y110" t="s">
        <x:v>135</x:v>
      </x:c>
    </x:row>
    <x:row r="111">
      <x:c r="Q111" t="n" cm="1">
        <x:f t="array" ref="Q111:Q122">_xlfn._xlws.FILTER($AK$2:$AK$41,$B$2:$B$41="D1_2D-LAGEPLAN")</x:f>
        <x:v>4.125</x:v>
      </x:c>
      <x:c r="R111" t="n" cm="1">
        <x:f t="array" ref="R111:R126">_xlfn._xlws.FILTER($AK$2:$AK$41,$B$2:$B$41="D2_3D-DIGITAL")</x:f>
        <x:v>2.75</x:v>
      </x:c>
      <x:c r="S111" t="n" cm="1">
        <x:f t="array" ref="S111:S122">_xlfn._xlws.FILTER($AK$2:$AK$41,$B$2:$B$41="D3_3D-DRUCK")</x:f>
        <x:v>4.375</x:v>
      </x:c>
      <x:c r="T111" t="n" cm="1">
        <x:f t="array" ref="T111:T150">_xlfn.VSTACK(Q111:Q122,R111:R126,S111:S122)</x:f>
        <x:v>4.125</x:v>
      </x:c>
      <x:c r="U111" t="n">
        <x:f>COUNTIF($T$111:$T$150,"&lt;"&amp;T111)+(COUNTIF($T$111:$T$150,T111)+1)/2</x:f>
        <x:v>32</x:v>
      </x:c>
      <x:c r="V111" t="s">
        <x:v>130</x:v>
      </x:c>
      <x:c r="W111" s="5" t="n">
        <x:f>SUM(U111:U122)</x:f>
        <x:v>239.5</x:v>
      </x:c>
      <x:c r="Y111" t="n">
        <x:f>12/(40*(40+1))*((W111^2/12)+(W112^2/16)+(W113^2/12))-3*(40+1)</x:f>
        <x:v>4.167035060975593</x:v>
      </x:c>
    </x:row>
    <x:row r="112">
      <x:c r="Q112" t="n">
        <x:v>2.5</x:v>
      </x:c>
      <x:c r="R112" t="n">
        <x:v>3.75</x:v>
      </x:c>
      <x:c r="S112" t="n">
        <x:v>3.625</x:v>
      </x:c>
      <x:c r="T112" t="n">
        <x:v>2.5</x:v>
      </x:c>
      <x:c r="U112" t="n">
        <x:f t="shared" ref="U112:U150" si="15">COUNTIF($T$111:$T$150,"&lt;"&amp;T112)+(COUNTIF($T$111:$T$150,T112)+1)/2</x:f>
        <x:v>1.5</x:v>
      </x:c>
      <x:c r="V112" t="s">
        <x:v>131</x:v>
      </x:c>
      <x:c r="W112" s="5" t="n">
        <x:f>SUM(U123:U138)</x:f>
        <x:v>269.5</x:v>
      </x:c>
      <x:c r="Y112" t="s">
        <x:v>136</x:v>
      </x:c>
    </x:row>
    <x:row r="113">
      <x:c r="Q113" t="n">
        <x:v>4</x:v>
      </x:c>
      <x:c r="R113" t="n">
        <x:v>2.75</x:v>
      </x:c>
      <x:c r="S113" t="n">
        <x:v>3.625</x:v>
      </x:c>
      <x:c r="T113" t="n">
        <x:v>4</x:v>
      </x:c>
      <x:c r="U113">
        <x:f t="shared" si="15"/>
        <x:v>30</x:v>
      </x:c>
      <x:c r="V113" t="s">
        <x:v>132</x:v>
      </x:c>
      <x:c r="W113" s="5" t="n">
        <x:f>SUM(U139:U150)</x:f>
        <x:v>311</x:v>
      </x:c>
      <x:c r="Y113" t="n" cm="1">
        <x:f t="array" ref="Y113">1-((COUNTIF($T$111:$T$150,1)^3-COUNTIF($T$111:$T$150,1))+(COUNTIF($T$111:$T$150,1.125)^3-COUNTIF($T$111:$T$150,1.125))+(COUNTIF($T$111:$T$150,1.25)^3-COUNTIF($T$111:$T$150,1.25))+(COUNTIF($T$111:$T$150,1.375)^3-COUNTIF($T$111:$T$150,1.375))+(COUNTIF($T$111:$T$150,1.5)^3-COUNTIF($T$111:$T$150,1.5))+(COUNTIF($T$111:$T$150,1.625)^3-COUNTIF($T$111:$T$150,1.625))+(COUNTIF($T$111:$T$150,1.75)^3-COUNTIF($T$111:$T$150,1.75))+(COUNTIF($T$111:$T$150,1.875)^3-COUNTIF($T$111:$T$150,1.875))+(COUNTIF($T$111:$T$150,2)^3-COUNTIF($T$111:$T$150,2))+(COUNTIF($T$111:$T$150,2.125)^3-COUNTIF($T$111:$T$150,2.125))+(COUNTIF($T$111:$T$150,2.25)^3-COUNTIF($T$111:$T$150,2.25))+(COUNTIF($T$111:$T$150,2.375)^3-COUNTIF($T$111:$T$150,2.375))+(COUNTIF($T$111:$T$150,2.5)^3-COUNTIF($T$111:$T$150,2.5))+(COUNTIF($T$111:$T$150,2.625)^3-COUNTIF($T$111:$T$150,2.625))+(COUNTIF($T$111:$T$150,2.75)^3-COUNTIF($T$111:$T$150,2.75))+(COUNTIF($T$111:$T$150,2.875)^3-COUNTIF($T$111:$T$150,2.875))+(COUNTIF($T$111:$T$150,3)^3-COUNTIF($T$111:$T$150,3))+(COUNTIF($T$111:$T$150,3.125)^3-COUNTIF($T$111:$T$150,3.125))+(COUNTIF($T$111:$T$150,3.25)^3-COUNTIF($T$111:$T$150,3.25))+(COUNTIF($T$111:$T$150,3.375)^3-COUNTIF($T$111:$T$150,3.375))+(COUNTIF($T$111:$T$150,3.5)^3-COUNTIF($T$111:$T$150,3.5))+(COUNTIF($T$111:$T$150,3.625)^3-COUNTIF($T$111:$T$150,3.625))+(COUNTIF($T$111:$T$150,3.75)^3-COUNTIF($T$111:$T$150,3.75))+(COUNTIF($T$111:$T$150,3.875)^3-COUNTIF($T$111:$T$150,3.875))+(COUNTIF($T$111:$T$150,4)^3-COUNTIF($T$111:$T$150,4))+(COUNTIF($T$111:$T$150,4.125)^3-COUNTIF($T$111:$T$150,4.125))+(COUNTIF($T$111:$T$150,4.25)^3-COUNTIF($T$111:$T$150,4.25))+(COUNTIF($T$111:$T$150,4.375)^3-COUNTIF($T$111:$T$150,4.375))+(COUNTIF($T$111:$T$150,4.5)^3-COUNTIF($T$111:$T$150,4.5))+(COUNTIF($T$111:$T$150,4.625)^3-COUNTIF($T$111:$T$150,4.625))+(COUNTIF($T$111:$T$150,4.75)^3-COUNTIF($T$111:$T$150,4.75))+(COUNTIF($T$111:$T$150,4.875)^3-COUNTIF($T$111:$T$150,4.875))+(COUNTIF($T$111:$T$150,5)^3-COUNTIF($T$111:$T$150,5)))/(40^3-40)</x:f>
        <x:v>0.9941838649155722</x:v>
      </x:c>
    </x:row>
    <x:row r="114">
      <x:c r="Q114" t="n">
        <x:v>3.5</x:v>
      </x:c>
      <x:c r="R114" t="n">
        <x:v>4.5</x:v>
      </x:c>
      <x:c r="S114" t="n">
        <x:v>3.625</x:v>
      </x:c>
      <x:c r="T114" t="n">
        <x:v>3.5</x:v>
      </x:c>
      <x:c r="U114">
        <x:f t="shared" si="15"/>
        <x:v>16.5</x:v>
      </x:c>
      <x:c r="Y114" t="s">
        <x:v>137</x:v>
      </x:c>
    </x:row>
    <x:row r="115">
      <x:c r="Q115" t="n">
        <x:v>4.5</x:v>
      </x:c>
      <x:c r="R115" t="n">
        <x:v>3.625</x:v>
      </x:c>
      <x:c r="S115" t="n">
        <x:v>3.75</x:v>
      </x:c>
      <x:c r="T115" t="n">
        <x:v>4.5</x:v>
      </x:c>
      <x:c r="U115">
        <x:f t="shared" si="15"/>
        <x:v>39</x:v>
      </x:c>
      <x:c r="Y115" t="n">
        <x:f>Y111/Y113</x:f>
        <x:v>4.1914128845064935</x:v>
      </x:c>
    </x:row>
    <x:row r="116">
      <x:c r="Q116" t="n">
        <x:v>3.875</x:v>
      </x:c>
      <x:c r="R116" t="n">
        <x:v>3.375</x:v>
      </x:c>
      <x:c r="S116" t="n">
        <x:v>4.5</x:v>
      </x:c>
      <x:c r="T116" t="n">
        <x:v>3.875</x:v>
      </x:c>
      <x:c r="U116">
        <x:f t="shared" si="15"/>
        <x:v>28</x:v>
      </x:c>
      <x:c r="Y116" t="s">
        <x:v>139</x:v>
      </x:c>
    </x:row>
    <x:row r="117">
      <x:c r="Q117" t="n">
        <x:v>3.125</x:v>
      </x:c>
      <x:c r="R117" t="n">
        <x:v>3.375</x:v>
      </x:c>
      <x:c r="S117" t="n">
        <x:v>4.125</x:v>
      </x:c>
      <x:c r="T117" t="n">
        <x:v>3.125</x:v>
      </x:c>
      <x:c r="U117">
        <x:f t="shared" si="15"/>
        <x:v>9.5</x:v>
      </x:c>
      <x:c r="Y117" t="n">
        <x:v>0.12298333233626124</x:v>
      </x:c>
    </x:row>
    <x:row r="118">
      <x:c r="Q118" t="n">
        <x:v>3.25</x:v>
      </x:c>
      <x:c r="R118" t="n">
        <x:v>3.125</x:v>
      </x:c>
      <x:c r="S118" t="n">
        <x:v>3.125</x:v>
      </x:c>
      <x:c r="T118" t="n">
        <x:v>3.25</x:v>
      </x:c>
      <x:c r="U118">
        <x:f t="shared" si="15"/>
        <x:v>12.5</x:v>
      </x:c>
    </x:row>
    <x:row r="119">
      <x:c r="Q119" t="n">
        <x:v>2.875</x:v>
      </x:c>
      <x:c r="R119" t="n">
        <x:v>4.25</x:v>
      </x:c>
      <x:c r="S119" t="n">
        <x:v>3.75</x:v>
      </x:c>
      <x:c r="T119" t="n">
        <x:v>2.875</x:v>
      </x:c>
      <x:c r="U119">
        <x:f t="shared" si="15"/>
        <x:v>7</x:v>
      </x:c>
    </x:row>
    <x:row r="120">
      <x:c r="Q120" t="n">
        <x:v>3.75</x:v>
      </x:c>
      <x:c r="R120" t="n">
        <x:v>3.875</x:v>
      </x:c>
      <x:c r="S120" t="n">
        <x:v>3.875</x:v>
      </x:c>
      <x:c r="T120" t="n">
        <x:v>3.75</x:v>
      </x:c>
      <x:c r="U120">
        <x:f t="shared" si="15"/>
        <x:v>24</x:v>
      </x:c>
    </x:row>
    <x:row r="121">
      <x:c r="Q121" t="n">
        <x:v>2.625</x:v>
      </x:c>
      <x:c r="R121" t="n">
        <x:v>3.25</x:v>
      </x:c>
      <x:c r="S121" t="n">
        <x:v>3.75</x:v>
      </x:c>
      <x:c r="T121" t="n">
        <x:v>2.625</x:v>
      </x:c>
      <x:c r="U121">
        <x:f t="shared" si="15"/>
        <x:v>3.5</x:v>
      </x:c>
    </x:row>
    <x:row r="122">
      <x:c r="Q122" t="n">
        <x:v>4.375</x:v>
      </x:c>
      <x:c r="R122" t="n">
        <x:v>2.625</x:v>
      </x:c>
      <x:c r="S122" t="n">
        <x:v>4.375</x:v>
      </x:c>
      <x:c r="T122" t="n">
        <x:v>4.375</x:v>
      </x:c>
      <x:c r="U122">
        <x:f t="shared" si="15"/>
        <x:v>36</x:v>
      </x:c>
    </x:row>
    <x:row r="123">
      <x:c r="R123" t="n">
        <x:v>3.125</x:v>
      </x:c>
      <x:c r="T123" t="n">
        <x:v>2.75</x:v>
      </x:c>
      <x:c r="U123">
        <x:f t="shared" si="15"/>
        <x:v>5.5</x:v>
      </x:c>
    </x:row>
    <x:row r="124">
      <x:c r="R124" t="n">
        <x:v>4.125</x:v>
      </x:c>
      <x:c r="T124" t="n">
        <x:v>3.75</x:v>
      </x:c>
      <x:c r="U124">
        <x:f t="shared" si="15"/>
        <x:v>24</x:v>
      </x:c>
    </x:row>
    <x:row r="125">
      <x:c r="R125" t="n">
        <x:v>2.5</x:v>
      </x:c>
      <x:c r="T125" t="n">
        <x:v>2.75</x:v>
      </x:c>
      <x:c r="U125">
        <x:f t="shared" si="15"/>
        <x:v>5.5</x:v>
      </x:c>
    </x:row>
    <x:row r="126">
      <x:c r="R126" t="n">
        <x:v>3.5</x:v>
      </x:c>
      <x:c r="T126" t="n">
        <x:v>4.5</x:v>
      </x:c>
      <x:c r="U126">
        <x:f t="shared" si="15"/>
        <x:v>39</x:v>
      </x:c>
    </x:row>
    <x:row r="127">
      <x:c r="T127" t="n">
        <x:v>3.625</x:v>
      </x:c>
      <x:c r="U127">
        <x:f t="shared" si="15"/>
        <x:v>19.5</x:v>
      </x:c>
    </x:row>
    <x:row r="128">
      <x:c r="T128" t="n">
        <x:v>3.375</x:v>
      </x:c>
      <x:c r="U128">
        <x:f t="shared" si="15"/>
        <x:v>14.5</x:v>
      </x:c>
    </x:row>
    <x:row r="129">
      <x:c r="T129" t="n">
        <x:v>3.375</x:v>
      </x:c>
      <x:c r="U129">
        <x:f t="shared" si="15"/>
        <x:v>14.5</x:v>
      </x:c>
    </x:row>
    <x:row r="130">
      <x:c r="T130" t="n">
        <x:v>3.125</x:v>
      </x:c>
      <x:c r="U130">
        <x:f t="shared" si="15"/>
        <x:v>9.5</x:v>
      </x:c>
    </x:row>
    <x:row r="131">
      <x:c r="T131" t="n">
        <x:v>4.25</x:v>
      </x:c>
      <x:c r="U131">
        <x:f t="shared" si="15"/>
        <x:v>34</x:v>
      </x:c>
    </x:row>
    <x:row r="132">
      <x:c r="T132" t="n">
        <x:v>3.875</x:v>
      </x:c>
      <x:c r="U132">
        <x:f t="shared" si="15"/>
        <x:v>28</x:v>
      </x:c>
    </x:row>
    <x:row r="133">
      <x:c r="T133" t="n">
        <x:v>3.25</x:v>
      </x:c>
      <x:c r="U133">
        <x:f t="shared" si="15"/>
        <x:v>12.5</x:v>
      </x:c>
    </x:row>
    <x:row r="134">
      <x:c r="T134" t="n">
        <x:v>2.625</x:v>
      </x:c>
      <x:c r="U134">
        <x:f t="shared" si="15"/>
        <x:v>3.5</x:v>
      </x:c>
    </x:row>
    <x:row r="135">
      <x:c r="T135" t="n">
        <x:v>3.125</x:v>
      </x:c>
      <x:c r="U135">
        <x:f t="shared" si="15"/>
        <x:v>9.5</x:v>
      </x:c>
    </x:row>
    <x:row r="136">
      <x:c r="T136" t="n">
        <x:v>4.125</x:v>
      </x:c>
      <x:c r="U136">
        <x:f t="shared" si="15"/>
        <x:v>32</x:v>
      </x:c>
    </x:row>
    <x:row r="137">
      <x:c r="T137" t="n">
        <x:v>2.5</x:v>
      </x:c>
      <x:c r="U137">
        <x:f t="shared" si="15"/>
        <x:v>1.5</x:v>
      </x:c>
    </x:row>
    <x:row r="138">
      <x:c r="T138" t="n">
        <x:v>3.5</x:v>
      </x:c>
      <x:c r="U138">
        <x:f t="shared" si="15"/>
        <x:v>16.5</x:v>
      </x:c>
    </x:row>
    <x:row r="139">
      <x:c r="T139" t="n">
        <x:v>4.375</x:v>
      </x:c>
      <x:c r="U139">
        <x:f t="shared" si="15"/>
        <x:v>36</x:v>
      </x:c>
    </x:row>
    <x:row r="140">
      <x:c r="T140" t="n">
        <x:v>3.625</x:v>
      </x:c>
      <x:c r="U140">
        <x:f t="shared" si="15"/>
        <x:v>19.5</x:v>
      </x:c>
    </x:row>
    <x:row r="141">
      <x:c r="T141" t="n">
        <x:v>3.625</x:v>
      </x:c>
      <x:c r="U141">
        <x:f t="shared" si="15"/>
        <x:v>19.5</x:v>
      </x:c>
    </x:row>
    <x:row r="142">
      <x:c r="T142" t="n">
        <x:v>3.625</x:v>
      </x:c>
      <x:c r="U142">
        <x:f t="shared" si="15"/>
        <x:v>19.5</x:v>
      </x:c>
    </x:row>
    <x:row r="143">
      <x:c r="T143" t="n">
        <x:v>3.75</x:v>
      </x:c>
      <x:c r="U143">
        <x:f t="shared" si="15"/>
        <x:v>24</x:v>
      </x:c>
    </x:row>
    <x:row r="144">
      <x:c r="T144" t="n">
        <x:v>4.5</x:v>
      </x:c>
      <x:c r="U144">
        <x:f t="shared" si="15"/>
        <x:v>39</x:v>
      </x:c>
    </x:row>
    <x:row r="145">
      <x:c r="T145" t="n">
        <x:v>4.125</x:v>
      </x:c>
      <x:c r="U145">
        <x:f t="shared" si="15"/>
        <x:v>32</x:v>
      </x:c>
    </x:row>
    <x:row r="146">
      <x:c r="T146" t="n">
        <x:v>3.125</x:v>
      </x:c>
      <x:c r="U146">
        <x:f t="shared" si="15"/>
        <x:v>9.5</x:v>
      </x:c>
    </x:row>
    <x:row r="147">
      <x:c r="T147" t="n">
        <x:v>3.75</x:v>
      </x:c>
      <x:c r="U147">
        <x:f t="shared" si="15"/>
        <x:v>24</x:v>
      </x:c>
    </x:row>
    <x:row r="148">
      <x:c r="T148" t="n">
        <x:v>3.875</x:v>
      </x:c>
      <x:c r="U148">
        <x:f t="shared" si="15"/>
        <x:v>28</x:v>
      </x:c>
    </x:row>
    <x:row r="149">
      <x:c r="T149" t="n">
        <x:v>3.75</x:v>
      </x:c>
      <x:c r="U149">
        <x:f t="shared" si="15"/>
        <x:v>24</x:v>
      </x:c>
    </x:row>
    <x:row r="150">
      <x:c r="T150" t="n">
        <x:v>4.375</x:v>
      </x:c>
      <x:c r="U150">
        <x:f t="shared" si="15"/>
        <x:v>36</x:v>
      </x:c>
    </x:row>
    <x:row r="152">
      <x:c r="Q152" s="145" t="str">
        <x:v>SV_GESAMT_MW: Gruppenmittelwert der personenbezogenen SV_GESAMT-Scores innerhalb der jeweiligen Darstellungsform. Höhere Werte = höhere mittlere wahrgenommene Verständlichkeit.</x:v>
      </x:c>
    </x:row>
    <x:row r="153">
      <x:c r="Q153" s="145" t="str">
        <x:v>SV_GESAMT_SD: Standardabweichung der personenbezogenen SV_GESAMT-Scores innerhalb der jeweiligen Darstellungsform. Höhere Werte = stärkere Unterschiede zwischen den individuellen Bewertungen.</x:v>
      </x:c>
    </x:row>
    <x:row r="154">
      <x:c r="Q154" t="str">
        <x:v>Kruskal-Wallis-Test: Für die subjektiv wahrgenommene Verständlichkeit ergibt sich kein statistisch signifikanter Unterschied zwischen den drei Darstellungsformen. H = 4,191; df = 2; p = 0,123.</x:v>
      </x:c>
    </x:row>
    <x:row r="159">
      <x:c r="Q159" t="s">
        <x:v>154</x:v>
      </x:c>
    </x:row>
    <x:row r="160">
      <x:c r="Q160" t="s">
        <x:v>155</x:v>
      </x:c>
      <x:c r="R160" t="s">
        <x:v>156</x:v>
      </x:c>
      <x:c r="T160" t="s">
        <x:v>157</x:v>
      </x:c>
      <x:c r="U160" t="s">
        <x:v>158</x:v>
      </x:c>
      <x:c r="V160" t="s">
        <x:v>159</x:v>
      </x:c>
      <x:c r="W160" t="s">
        <x:v>160</x:v>
      </x:c>
    </x:row>
    <x:row r="161">
      <x:c r="Q161" s="24" t="n" cm="1">
        <x:f t="array" ref="Q161:Q172">_xlfn._xlws.FILTER($W$2:$W$41,$B$2:$B$41="D1_2D-LAGEPLAN")</x:f>
        <x:v>6</x:v>
      </x:c>
      <x:c r="R161" s="24" t="n" cm="1">
        <x:f t="array" ref="R161:R172">_xlfn._xlws.FILTER($AK$2:$AK$41,$B$2:$B$41="D1_2D-LAGEPLAN")</x:f>
        <x:v>4.125</x:v>
      </x:c>
      <x:c r="T161" t="n" cm="1">
        <x:f t="array" ref="T161:T176">_xlfn._xlws.FILTER($W$2:$W$41,$B$2:$B$41="D2_3D-DIGITAL")</x:f>
        <x:v>2</x:v>
      </x:c>
      <x:c r="U161" t="n" cm="1">
        <x:f t="array" ref="U161:U176">_xlfn._xlws.FILTER($AK$2:$AK$41,$B$2:$B$41="D2_3D-DIGITAL")</x:f>
        <x:v>2.75</x:v>
      </x:c>
      <x:c r="V161" t="n" cm="1">
        <x:f t="array" ref="V161:V172">_xlfn._xlws.FILTER($W$2:$W$41,$B$2:$B$41="D3_3D-DRUCK")</x:f>
        <x:v>8</x:v>
      </x:c>
      <x:c r="W161" t="n" cm="1">
        <x:f t="array" ref="W161:W172">_xlfn._xlws.FILTER($AK$2:$AK$41,$B$2:$B$41="D3_3D-DRUCK")</x:f>
        <x:v>4.375</x:v>
      </x:c>
    </x:row>
    <x:row r="162">
      <x:c r="Q162" s="24" t="n">
        <x:v>3</x:v>
      </x:c>
      <x:c r="R162" s="24" t="n">
        <x:v>2.5</x:v>
      </x:c>
      <x:c r="T162" t="n">
        <x:v>4</x:v>
      </x:c>
      <x:c r="U162" t="n">
        <x:v>3.75</x:v>
      </x:c>
      <x:c r="V162" t="n">
        <x:v>7</x:v>
      </x:c>
      <x:c r="W162" t="n">
        <x:v>3.625</x:v>
      </x:c>
    </x:row>
    <x:row r="163">
      <x:c r="Q163" s="24" t="n">
        <x:v>4</x:v>
      </x:c>
      <x:c r="R163" s="24" t="n">
        <x:v>4</x:v>
      </x:c>
      <x:c r="T163" t="n">
        <x:v>5</x:v>
      </x:c>
      <x:c r="U163" t="n">
        <x:v>2.75</x:v>
      </x:c>
      <x:c r="V163" t="n">
        <x:v>5</x:v>
      </x:c>
      <x:c r="W163" t="n">
        <x:v>3.625</x:v>
      </x:c>
    </x:row>
    <x:row r="164">
      <x:c r="Q164" s="24" t="n">
        <x:v>4</x:v>
      </x:c>
      <x:c r="R164" s="24" t="n">
        <x:v>3.5</x:v>
      </x:c>
      <x:c r="T164" t="n">
        <x:v>6</x:v>
      </x:c>
      <x:c r="U164" t="n">
        <x:v>4.5</x:v>
      </x:c>
      <x:c r="V164" t="n">
        <x:v>6</x:v>
      </x:c>
      <x:c r="W164" t="n">
        <x:v>3.625</x:v>
      </x:c>
    </x:row>
    <x:row r="165">
      <x:c r="Q165" s="24" t="n">
        <x:v>3</x:v>
      </x:c>
      <x:c r="R165" s="24" t="n">
        <x:v>4.5</x:v>
      </x:c>
      <x:c r="T165" t="n">
        <x:v>5</x:v>
      </x:c>
      <x:c r="U165" t="n">
        <x:v>3.625</x:v>
      </x:c>
      <x:c r="V165" t="n">
        <x:v>5</x:v>
      </x:c>
      <x:c r="W165" t="n">
        <x:v>3.75</x:v>
      </x:c>
    </x:row>
    <x:row r="166">
      <x:c r="Q166" s="24" t="n">
        <x:v>8</x:v>
      </x:c>
      <x:c r="R166" s="24" t="n">
        <x:v>3.875</x:v>
      </x:c>
      <x:c r="T166" t="n">
        <x:v>4</x:v>
      </x:c>
      <x:c r="U166" t="n">
        <x:v>3.375</x:v>
      </x:c>
      <x:c r="V166" t="n">
        <x:v>7</x:v>
      </x:c>
      <x:c r="W166" t="n">
        <x:v>4.5</x:v>
      </x:c>
    </x:row>
    <x:row r="167">
      <x:c r="Q167" s="24" t="n">
        <x:v>1</x:v>
      </x:c>
      <x:c r="R167" s="24" t="n">
        <x:v>3.125</x:v>
      </x:c>
      <x:c r="T167" t="n">
        <x:v>6</x:v>
      </x:c>
      <x:c r="U167" t="n">
        <x:v>3.375</x:v>
      </x:c>
      <x:c r="V167" t="n">
        <x:v>7</x:v>
      </x:c>
      <x:c r="W167" t="n">
        <x:v>4.125</x:v>
      </x:c>
    </x:row>
    <x:row r="168">
      <x:c r="Q168" s="24" t="n">
        <x:v>5</x:v>
      </x:c>
      <x:c r="R168" s="24" t="n">
        <x:v>3.25</x:v>
      </x:c>
      <x:c r="T168" t="n">
        <x:v>4</x:v>
      </x:c>
      <x:c r="U168" t="n">
        <x:v>3.125</x:v>
      </x:c>
      <x:c r="V168" t="n">
        <x:v>3</x:v>
      </x:c>
      <x:c r="W168" t="n">
        <x:v>3.125</x:v>
      </x:c>
    </x:row>
    <x:row r="169">
      <x:c r="Q169" s="24" t="n">
        <x:v>4</x:v>
      </x:c>
      <x:c r="R169" s="24" t="n">
        <x:v>2.875</x:v>
      </x:c>
      <x:c r="T169" t="n">
        <x:v>5</x:v>
      </x:c>
      <x:c r="U169" t="n">
        <x:v>4.25</x:v>
      </x:c>
      <x:c r="V169" t="n">
        <x:v>3</x:v>
      </x:c>
      <x:c r="W169" t="n">
        <x:v>3.75</x:v>
      </x:c>
    </x:row>
    <x:row r="170">
      <x:c r="Q170" s="24" t="n">
        <x:v>6</x:v>
      </x:c>
      <x:c r="R170" s="24" t="n">
        <x:v>3.75</x:v>
      </x:c>
      <x:c r="T170" t="n">
        <x:v>7</x:v>
      </x:c>
      <x:c r="U170" t="n">
        <x:v>3.875</x:v>
      </x:c>
      <x:c r="V170" t="n">
        <x:v>6</x:v>
      </x:c>
      <x:c r="W170" t="n">
        <x:v>3.875</x:v>
      </x:c>
    </x:row>
    <x:row r="171">
      <x:c r="Q171" s="24" t="n">
        <x:v>1</x:v>
      </x:c>
      <x:c r="R171" s="24" t="n">
        <x:v>2.625</x:v>
      </x:c>
      <x:c r="T171" t="n">
        <x:v>4</x:v>
      </x:c>
      <x:c r="U171" t="n">
        <x:v>3.25</x:v>
      </x:c>
      <x:c r="V171" t="n">
        <x:v>6</x:v>
      </x:c>
      <x:c r="W171" t="n">
        <x:v>3.75</x:v>
      </x:c>
    </x:row>
    <x:row r="172">
      <x:c r="Q172" s="24" t="n">
        <x:v>3</x:v>
      </x:c>
      <x:c r="R172" s="24" t="n">
        <x:v>4.375</x:v>
      </x:c>
      <x:c r="T172" t="n">
        <x:v>4</x:v>
      </x:c>
      <x:c r="U172" t="n">
        <x:v>2.625</x:v>
      </x:c>
      <x:c r="V172" t="n">
        <x:v>7</x:v>
      </x:c>
      <x:c r="W172" t="n">
        <x:v>4.375</x:v>
      </x:c>
    </x:row>
    <x:row r="173">
      <x:c r="T173" t="n">
        <x:v>5</x:v>
      </x:c>
      <x:c r="U173" t="n">
        <x:v>3.125</x:v>
      </x:c>
    </x:row>
    <x:row r="174">
      <x:c r="Q174" t="s">
        <x:v>161</x:v>
      </x:c>
      <x:c r="T174" t="n">
        <x:v>6</x:v>
      </x:c>
      <x:c r="U174" t="n">
        <x:v>4.125</x:v>
      </x:c>
    </x:row>
    <x:row r="175">
      <x:c r="Q175" t="n">
        <x:f>CORREL(Q161:Q172,R161:R172)</x:f>
        <x:v>0.3894195645496058</x:v>
      </x:c>
      <x:c r="T175" t="n">
        <x:v>6</x:v>
      </x:c>
      <x:c r="U175" t="n">
        <x:v>2.5</x:v>
      </x:c>
    </x:row>
    <x:row r="176">
      <x:c r="Q176" t="s">
        <x:v>162</x:v>
      </x:c>
      <x:c r="T176" t="n">
        <x:v>3</x:v>
      </x:c>
      <x:c r="U176" t="n">
        <x:v>3.5</x:v>
      </x:c>
    </x:row>
    <x:row r="177">
      <x:c r="Q177" t="n">
        <x:f>Q175*SQRT((12-2)/(1-Q175^2))</x:f>
        <x:v>1.3369944969181697</x:v>
      </x:c>
    </x:row>
    <x:row r="178">
      <x:c r="Q178" t="s">
        <x:v>163</x:v>
      </x:c>
      <x:c r="T178" t="s">
        <x:v>164</x:v>
      </x:c>
      <x:c r="V178" t="s">
        <x:v>165</x:v>
      </x:c>
    </x:row>
    <x:row r="179">
      <x:c r="Q179" t="n">
        <x:v>0.21084233563577312</x:v>
      </x:c>
      <x:c r="T179" t="n">
        <x:f>CORREL(T161:T176,U161:U176)</x:f>
        <x:v>0.3910503215473692</x:v>
      </x:c>
      <x:c r="V179" t="n">
        <x:f>CORREL(V161:V172,W161:W172)</x:f>
        <x:v>0.7365401510766542</x:v>
      </x:c>
    </x:row>
    <x:row r="180">
      <x:c r="T180" t="s">
        <x:v>166</x:v>
      </x:c>
      <x:c r="V180" t="s">
        <x:v>167</x:v>
      </x:c>
    </x:row>
    <x:row r="181">
      <x:c r="T181" t="n">
        <x:f>T179*SQRT((16-2)/(1-T179^2))</x:f>
        <x:v>1.5897708955094574</x:v>
      </x:c>
      <x:c r="V181" t="n">
        <x:f>V179*SQRT((12-2)/(1-V179^2))</x:f>
        <x:v>3.443473877384232</x:v>
      </x:c>
    </x:row>
    <x:row r="182">
      <x:c r="T182" t="s">
        <x:v>168</x:v>
      </x:c>
      <x:c r="V182" t="s">
        <x:v>169</x:v>
      </x:c>
    </x:row>
    <x:row r="183">
      <x:c r="T183" t="n">
        <x:v>0.1342079120998503</x:v>
      </x:c>
      <x:c r="V183" t="n">
        <x:v>0.006294649172816182</x:v>
      </x:c>
    </x:row>
    <x:row r="185">
      <x:c r="Q185" s="145" t="str">
        <x:v>Pearson-Korrelation (r): Gibt Richtung und Stärke des linearen Zusammenhangs zwischen dem personenbezogenen objektiven Gesamtscore OV_GESAMT und dem personenbezogenen subjektiven Gesamtscore SV_GESAMT innerhalb der jeweiligen Darstellungsform an. Positive Werte bedeuten: Höhere individuelle objektive Leistungen gehen tendenziell mit höheren individuellen subjektiven Bewertungen einher. Der p-Wert zeigt, ob der Zusammenhang statistisch signifikant ist.</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15" hidden="0" customWidth="1"/>
    <x:col min="3" max="3" width="16" hidden="0" customWidth="1"/>
    <x:col min="4" max="4" width="15" hidden="0" customWidth="1"/>
    <x:col min="5" max="5" width="16" hidden="0" customWidth="1"/>
    <x:col min="6" max="6" width="18" hidden="0" customWidth="1"/>
    <x:col min="7" max="7" width="15" hidden="0" customWidth="1"/>
    <x:col min="8" max="8" width="15" hidden="0" customWidth="1"/>
    <x:col min="9" max="9" width="20" hidden="0" customWidth="1"/>
  </x:cols>
  <x:sheetData>
    <x:row r="1" ht="30" customHeight="1">
      <x:c r="A1" s="59" t="str">
        <x:v>Prüfung und vervollständigte statistische Auswertung</x:v>
      </x:c>
      <x:c r="B1" s="59"/>
      <x:c r="C1" s="59"/>
      <x:c r="D1" s="59"/>
      <x:c r="E1" s="59"/>
      <x:c r="F1" s="59"/>
      <x:c r="G1" s="59"/>
      <x:c r="H1" s="59"/>
      <x:c r="I1" s="59"/>
    </x:row>
    <x:row r="2">
      <x:c r="A2" s="54"/>
      <x:c r="B2" s="54"/>
      <x:c r="C2" s="54"/>
      <x:c r="D2" s="54"/>
      <x:c r="E2" s="54"/>
      <x:c r="F2" s="54"/>
      <x:c r="G2" s="54"/>
      <x:c r="H2" s="54"/>
      <x:c r="I2" s="54"/>
    </x:row>
    <x:row r="3" ht="22" customHeight="1">
      <x:c r="A3" s="66" t="str">
        <x:v>1. Datenbasis und Prüfstatus</x:v>
      </x:c>
      <x:c r="B3" s="66"/>
      <x:c r="C3" s="66"/>
      <x:c r="D3" s="66"/>
      <x:c r="E3" s="66"/>
      <x:c r="F3" s="66"/>
      <x:c r="G3" s="66"/>
      <x:c r="H3" s="66"/>
      <x:c r="I3" s="66"/>
    </x:row>
    <x:row r="4">
      <x:c r="A4" s="72" t="str">
        <x:v>Kennzahl</x:v>
      </x:c>
      <x:c r="B4" s="72" t="str">
        <x:v>Ergebnis</x:v>
      </x:c>
      <x:c r="C4" s="72" t="str">
        <x:v>Hinweis</x:v>
      </x:c>
      <x:c r="D4" s="72"/>
      <x:c r="E4" s="72"/>
      <x:c r="F4" s="72"/>
      <x:c r="G4" s="72"/>
      <x:c r="H4" s="72"/>
      <x:c r="I4" s="72"/>
    </x:row>
    <x:row r="5">
      <x:c r="A5" s="54" t="str">
        <x:v>Eingeschlossene Fälle</x:v>
      </x:c>
      <x:c r="B5" s="54" t="n">
        <x:v>40</x:v>
      </x:c>
      <x:c r="C5" s="54" t="str">
        <x:v>Alle 40 Datensätze erfüllen die in der Datei verwendeten Einschlusskriterien.</x:v>
      </x:c>
      <x:c r="D5" s="54"/>
      <x:c r="E5" s="54"/>
      <x:c r="F5" s="54"/>
      <x:c r="G5" s="54"/>
      <x:c r="H5" s="54"/>
      <x:c r="I5" s="54"/>
    </x:row>
    <x:row r="6">
      <x:c r="A6" s="54" t="str">
        <x:v>Gruppengrößen</x:v>
      </x:c>
      <x:c r="B6" s="54" t="str">
        <x:v>12 / 16 / 12</x:v>
      </x:c>
      <x:c r="C6" s="54" t="str">
        <x:v>Lageplan / digitales 3D-Modell / physisches 3D-Modell</x:v>
      </x:c>
      <x:c r="D6" s="54"/>
      <x:c r="E6" s="54"/>
      <x:c r="F6" s="54"/>
      <x:c r="G6" s="54"/>
      <x:c r="H6" s="54"/>
      <x:c r="I6" s="54"/>
    </x:row>
    <x:row r="7">
      <x:c r="A7" s="54" t="str">
        <x:v>Fachliche Grundkenntnisse</x:v>
      </x:c>
      <x:c r="B7" s="54" t="n">
        <x:v>5</x:v>
      </x:c>
      <x:c r="C7" s="54" t="str">
        <x:v>2 / 1 / 2 je Gruppe; keine Person weist höhere Fachkenntnisse auf.</x:v>
      </x:c>
      <x:c r="D7" s="54"/>
      <x:c r="E7" s="54"/>
      <x:c r="F7" s="54"/>
      <x:c r="G7" s="54"/>
      <x:c r="H7" s="54"/>
      <x:c r="I7" s="54"/>
    </x:row>
    <x:row r="8">
      <x:c r="A8" s="54" t="str">
        <x:v>Kodierung OV</x:v>
      </x:c>
      <x:c r="B8" s="54" t="str">
        <x:v>Antwortoption 1 = korrekt</x:v>
      </x:c>
      <x:c r="C8" s="54" t="str">
        <x:v>Vom Auftraggeber bestätigt; 1 Punkt je korrekter Antwort, max. 8 Punkte.</x:v>
      </x:c>
      <x:c r="D8" s="54"/>
      <x:c r="E8" s="54"/>
      <x:c r="F8" s="54"/>
      <x:c r="G8" s="54"/>
      <x:c r="H8" s="54"/>
      <x:c r="I8" s="54"/>
    </x:row>
    <x:row r="9" ht="46" customHeight="1">
      <x:c r="A9" s="54" t="str">
        <x:v>Gruppenzuweisung / Rekrutierung</x:v>
      </x:c>
      <x:c r="B9" s="54" t="str">
        <x:v>manuell; nicht randomisiert</x:v>
      </x:c>
      <x:c r="C9" s="54" t="str">
        <x:v>Zuweisung mit dem Ziel möglichst gleichmäßiger Gruppen. Nach der ersten Erhebungsphase wurde die digitale Bedingung unter gleichen inhaltlichen und technischen Bedingungen erneut rekrutiert; die finale Auswertung erfolgte mit n = 12 / 16 / 12 ohne nachträgliche Angleichung der Gruppengrößen.</x:v>
      </x:c>
      <x:c r="D9" s="54"/>
      <x:c r="E9" s="54"/>
      <x:c r="F9" s="54"/>
      <x:c r="G9" s="54"/>
      <x:c r="H9" s="54"/>
      <x:c r="I9" s="54"/>
    </x:row>
    <x:row r="10" ht="22" customHeight="1">
      <x:c r="A10" s="66" t="str">
        <x:v>2. Zentrale deskriptive Ergebnisse</x:v>
      </x:c>
      <x:c r="B10" s="66"/>
      <x:c r="C10" s="66"/>
      <x:c r="D10" s="66"/>
      <x:c r="E10" s="66"/>
      <x:c r="F10" s="66"/>
      <x:c r="G10" s="66"/>
      <x:c r="H10" s="66"/>
      <x:c r="I10" s="66"/>
    </x:row>
    <x:row r="11">
      <x:c r="A11" s="72" t="str">
        <x:v>Darstellungsform</x:v>
      </x:c>
      <x:c r="B11" s="72" t="str">
        <x:v>n</x:v>
      </x:c>
      <x:c r="C11" s="72" t="str">
        <x:v>OV-Gruppenmittelwert</x:v>
      </x:c>
      <x:c r="D11" s="72" t="str">
        <x:v>OV-SD (Gruppe)</x:v>
      </x:c>
      <x:c r="E11" s="72" t="str">
        <x:v>OV-Median (Gruppe)</x:v>
      </x:c>
      <x:c r="F11" s="72" t="str">
        <x:v>SV-Gruppenmittelwert</x:v>
      </x:c>
      <x:c r="G11" s="72" t="str">
        <x:v>SV-SD (Gruppe)</x:v>
      </x:c>
      <x:c r="H11" s="72" t="str">
        <x:v>SV-Median (Gruppe)</x:v>
      </x:c>
      <x:c r="I11" s="72" t="str">
        <x:v>SV_GLOBAL-Gruppenmittelwert</x:v>
      </x:c>
    </x:row>
    <x:row r="12">
      <x:c r="A12" s="76" t="str">
        <x:v>Lageplan</x:v>
      </x:c>
      <x:c r="B12" s="94" t="n">
        <x:f>Tabelle1!B61</x:f>
        <x:v>12</x:v>
      </x:c>
      <x:c r="C12" s="95" t="n">
        <x:f>Tabelle1!C61</x:f>
        <x:v>4</x:v>
      </x:c>
      <x:c r="D12" s="95" t="n">
        <x:f>Tabelle1!N61</x:f>
        <x:v>2.04494943258218</x:v>
      </x:c>
      <x:c r="E12" s="95" t="n">
        <x:f>MEDIAN(_xlfn._xlws.FILTER(Tabelle1!$W$2:$W$41,(Tabelle1!$B$2:$B$41="D1_2D-LAGEPLAN")*(Tabelle1!$AS$2:$AS$41="Einschluss")))</x:f>
        <x:v>4</x:v>
      </x:c>
      <x:c r="F12" s="95" t="n">
        <x:f>Tabelle1!D61</x:f>
        <x:v>3.5416666666666665</x:v>
      </x:c>
      <x:c r="G12" s="95" t="n">
        <x:f>Tabelle1!O61</x:f>
        <x:v>0.6706792124858247</x:v>
      </x:c>
      <x:c r="H12" s="95" t="n">
        <x:f>MEDIAN(_xlfn._xlws.FILTER(Tabelle1!$AK$2:$AK$41,(Tabelle1!$B$2:$B$41="D1_2D-LAGEPLAN")*(Tabelle1!$AS$2:$AS$41="Einschluss")))</x:f>
        <x:v>3.625</x:v>
      </x:c>
      <x:c r="I12" s="95" t="n">
        <x:f>Tabelle1!E61</x:f>
        <x:v>3.3333333333333335</x:v>
      </x:c>
    </x:row>
    <x:row r="13">
      <x:c r="A13" s="76" t="str">
        <x:v>Digitales 3D-Modell</x:v>
      </x:c>
      <x:c r="B13" s="94" t="n">
        <x:f>Tabelle1!B62</x:f>
        <x:v>16</x:v>
      </x:c>
      <x:c r="C13" s="95" t="n">
        <x:f>Tabelle1!C62</x:f>
        <x:v>4.75</x:v>
      </x:c>
      <x:c r="D13" s="95" t="n">
        <x:f>Tabelle1!N62</x:f>
        <x:v>1.2909944487358056</x:v>
      </x:c>
      <x:c r="E13" s="95" t="n">
        <x:f>MEDIAN(_xlfn._xlws.FILTER(Tabelle1!$W$2:$W$41,(Tabelle1!$B$2:$B$41="D2_3D-DIGITAL")*(Tabelle1!$AS$2:$AS$41="Einschluss")))</x:f>
        <x:v>5</x:v>
      </x:c>
      <x:c r="F13" s="95" t="n">
        <x:f>Tabelle1!D62</x:f>
        <x:v>3.40625</x:v>
      </x:c>
      <x:c r="G13" s="95" t="n">
        <x:f>Tabelle1!O62</x:f>
        <x:v>0.5942432162002357</x:v>
      </x:c>
      <x:c r="H13" s="95" t="n">
        <x:f>MEDIAN(_xlfn._xlws.FILTER(Tabelle1!$AK$2:$AK$41,(Tabelle1!$B$2:$B$41="D2_3D-DIGITAL")*(Tabelle1!$AS$2:$AS$41="Einschluss")))</x:f>
        <x:v>3.375</x:v>
      </x:c>
      <x:c r="I13" s="95" t="n">
        <x:f>Tabelle1!E62</x:f>
        <x:v>3.6875</x:v>
      </x:c>
    </x:row>
    <x:row r="14">
      <x:c r="A14" s="76" t="str">
        <x:v>Physisches 3D-Modell</x:v>
      </x:c>
      <x:c r="B14" s="94" t="n">
        <x:f>Tabelle1!B63</x:f>
        <x:v>12</x:v>
      </x:c>
      <x:c r="C14" s="95" t="n">
        <x:f>Tabelle1!C63</x:f>
        <x:v>5.833333333333333</x:v>
      </x:c>
      <x:c r="D14" s="95" t="n">
        <x:f>Tabelle1!N63</x:f>
        <x:v>1.5859229221975182</x:v>
      </x:c>
      <x:c r="E14" s="95" t="n">
        <x:f>MEDIAN(_xlfn._xlws.FILTER(Tabelle1!$W$2:$W$41,(Tabelle1!$B$2:$B$41="D3_3D-DRUCK")*(Tabelle1!$AS$2:$AS$41="Einschluss")))</x:f>
        <x:v>6</x:v>
      </x:c>
      <x:c r="F14" s="95" t="n">
        <x:f>Tabelle1!D63</x:f>
        <x:v>3.875</x:v>
      </x:c>
      <x:c r="G14" s="95" t="n">
        <x:f>Tabelle1!O63</x:f>
        <x:v>0.3988620176087328</x:v>
      </x:c>
      <x:c r="H14" s="95" t="n">
        <x:f>MEDIAN(_xlfn._xlws.FILTER(Tabelle1!$AK$2:$AK$41,(Tabelle1!$B$2:$B$41="D3_3D-DRUCK")*(Tabelle1!$AS$2:$AS$41="Einschluss")))</x:f>
        <x:v>3.75</x:v>
      </x:c>
      <x:c r="I14" s="95" t="n">
        <x:f>Tabelle1!E63</x:f>
        <x:v>3.4166666666666665</x:v>
      </x:c>
    </x:row>
    <x:row r="15">
      <x:c r="A15" s="54"/>
      <x:c r="B15" s="54"/>
      <x:c r="C15" s="54"/>
      <x:c r="D15" s="54"/>
      <x:c r="E15" s="54"/>
      <x:c r="F15" s="54"/>
      <x:c r="G15" s="54"/>
      <x:c r="H15" s="54"/>
      <x:c r="I15" s="54"/>
    </x:row>
    <x:row r="16">
      <x:c r="A16" s="54"/>
      <x:c r="B16" s="54"/>
      <x:c r="C16" s="54"/>
      <x:c r="D16" s="54"/>
      <x:c r="E16" s="54"/>
      <x:c r="F16" s="54"/>
      <x:c r="G16" s="54"/>
      <x:c r="H16" s="54"/>
      <x:c r="I16" s="54"/>
    </x:row>
    <x:row r="17" ht="22" customHeight="1">
      <x:c r="A17" s="66" t="str">
        <x:v>3. Inferenzstatistik der Hauptendpunkte</x:v>
      </x:c>
      <x:c r="B17" s="66"/>
      <x:c r="C17" s="66"/>
      <x:c r="D17" s="66"/>
      <x:c r="E17" s="66"/>
      <x:c r="F17" s="66"/>
      <x:c r="G17" s="66"/>
      <x:c r="H17" s="66"/>
      <x:c r="I17" s="66"/>
    </x:row>
    <x:row r="18">
      <x:c r="A18" s="72" t="str">
        <x:v>Endpunkt</x:v>
      </x:c>
      <x:c r="B18" s="72" t="str">
        <x:v>H</x:v>
      </x:c>
      <x:c r="C18" s="72" t="str">
        <x:v>df</x:v>
      </x:c>
      <x:c r="D18" s="72" t="str">
        <x:v>p</x:v>
      </x:c>
      <x:c r="E18" s="72" t="str">
        <x:v>ε²</x:v>
      </x:c>
      <x:c r="F18" s="72" t="str">
        <x:v>Ergebnis bei α = 0,05</x:v>
      </x:c>
      <x:c r="G18" s="54"/>
      <x:c r="H18" s="54"/>
      <x:c r="I18" s="54"/>
    </x:row>
    <x:row r="19">
      <x:c r="A19" s="78" t="str">
        <x:v>OV-Individualscore (OV_GESAMT)</x:v>
      </x:c>
      <x:c r="B19" s="98" t="n">
        <x:f>Tabelle1!Y66</x:f>
        <x:v>6.692461084791653</x:v>
      </x:c>
      <x:c r="C19" s="99" t="n">
        <x:f>2</x:f>
        <x:v>2</x:v>
      </x:c>
      <x:c r="D19" s="100" t="n">
        <x:f>Tabelle1!Y69</x:f>
        <x:v>0.03521685265314855</x:v>
      </x:c>
      <x:c r="E19" s="100" t="n">
        <x:f>MAX(0,(B19-C19)/(40-C19-1))</x:f>
        <x:v>0.12682327256193657</x:v>
      </x:c>
      <x:c r="F19" s="78" t="str">
        <x:f>IF(D19&lt;0.05,"signifikant","nicht signifikant")</x:f>
        <x:v>signifikant</x:v>
      </x:c>
      <x:c r="G19" s="54"/>
      <x:c r="H19" s="54"/>
      <x:c r="I19" s="54"/>
    </x:row>
    <x:row r="20">
      <x:c r="A20" s="76" t="str">
        <x:v>SV-Individualscore (SV_GESAMT)</x:v>
      </x:c>
      <x:c r="B20" s="101" t="n">
        <x:f>Tabelle1!Y115</x:f>
        <x:v>4.1914128845064935</x:v>
      </x:c>
      <x:c r="C20" s="94" t="n">
        <x:f>2</x:f>
        <x:v>2</x:v>
      </x:c>
      <x:c r="D20" s="102" t="n">
        <x:f>Tabelle1!Y117</x:f>
        <x:v>0.12298333233626124</x:v>
      </x:c>
      <x:c r="E20" s="102" t="n">
        <x:f>MAX(0,(B20-C20)/(40-C20-1))</x:f>
        <x:v>0.05922737525693226</x:v>
      </x:c>
      <x:c r="F20" s="76" t="str">
        <x:f>IF(D20&lt;0.05,"signifikant","nicht signifikant")</x:f>
        <x:v>nicht signifikant</x:v>
      </x:c>
      <x:c r="G20" s="54"/>
      <x:c r="H20" s="54"/>
      <x:c r="I20" s="54"/>
    </x:row>
    <x:row r="21">
      <x:c r="A21" s="76" t="str">
        <x:v>SV_GLOBAL (ergänzend)</x:v>
      </x:c>
      <x:c r="B21" s="101" t="n">
        <x:v>0.7417943934657787</x:v>
      </x:c>
      <x:c r="C21" s="94" t="n">
        <x:v>2</x:v>
      </x:c>
      <x:c r="D21" s="102" t="n">
        <x:v>0.6901148839769249</x:v>
      </x:c>
      <x:c r="E21" s="102" t="n">
        <x:f>MAX(0,(B21-C21)/(40-C21-1))</x:f>
        <x:v>0</x:v>
      </x:c>
      <x:c r="F21" s="76" t="str">
        <x:v>nicht signifikant</x:v>
      </x:c>
      <x:c r="G21" s="54"/>
      <x:c r="H21" s="54"/>
      <x:c r="I21" s="54"/>
    </x:row>
    <x:row r="22">
      <x:c r="A22" s="54"/>
      <x:c r="B22" s="54"/>
      <x:c r="C22" s="54"/>
      <x:c r="D22" s="54"/>
      <x:c r="E22" s="54"/>
      <x:c r="F22" s="54"/>
      <x:c r="G22" s="54"/>
      <x:c r="H22" s="54"/>
      <x:c r="I22" s="54"/>
    </x:row>
    <x:row r="23" ht="22" customHeight="1">
      <x:c r="A23" s="66" t="str">
        <x:v>4. Post-hoc für den OV-Individualscore (OV_GESAMT): Dunn-Test mit Bonferroni-Korrektur</x:v>
      </x:c>
      <x:c r="B23" s="66"/>
      <x:c r="C23" s="66"/>
      <x:c r="D23" s="66"/>
      <x:c r="E23" s="66"/>
      <x:c r="F23" s="66"/>
      <x:c r="G23" s="66"/>
      <x:c r="H23" s="66"/>
      <x:c r="I23" s="66"/>
    </x:row>
    <x:row r="24">
      <x:c r="A24" s="72" t="str">
        <x:v>Vergleich</x:v>
      </x:c>
      <x:c r="B24" s="72" t="str">
        <x:v>z</x:v>
      </x:c>
      <x:c r="C24" s="72" t="str">
        <x:v>p roh</x:v>
      </x:c>
      <x:c r="D24" s="72" t="str">
        <x:v>p Bonferroni</x:v>
      </x:c>
      <x:c r="E24" s="72" t="str">
        <x:v>Ergebnis</x:v>
      </x:c>
      <x:c r="F24" s="54"/>
      <x:c r="G24" s="54"/>
      <x:c r="H24" s="54"/>
      <x:c r="I24" s="54"/>
    </x:row>
    <x:row r="25">
      <x:c r="A25" s="76" t="str">
        <x:v>Lageplan vs. digitales 3D-Modell</x:v>
      </x:c>
      <x:c r="B25" s="101" t="n">
        <x:f>ABS(Tabelle1!$Y$72-Tabelle1!$Y$74)/SQRT((40*41/12)*(1/12+1/16)*Tabelle1!$Y$63)</x:f>
        <x:v>1.0090995296539285</x:v>
      </x:c>
      <x:c r="C25" s="102" t="n">
        <x:f>2*(1-_xlfn.NORM.S.DIST(ABS(B25),TRUE))</x:f>
        <x:v>0.3129269035450448</x:v>
      </x:c>
      <x:c r="D25" s="102" t="n">
        <x:f>MIN(1,3*C25)</x:f>
        <x:v>0.9387807106351345</x:v>
      </x:c>
      <x:c r="E25" s="76" t="str">
        <x:f>IF(D25&lt;0.05,"signifikant","nicht signifikant")</x:f>
        <x:v>nicht signifikant</x:v>
      </x:c>
      <x:c r="F25" s="54"/>
      <x:c r="G25" s="54"/>
      <x:c r="H25" s="54"/>
      <x:c r="I25" s="54"/>
    </x:row>
    <x:row r="26">
      <x:c r="A26" s="78" t="str">
        <x:v>Lageplan vs. physisches 3D-Modell</x:v>
      </x:c>
      <x:c r="B26" s="98" t="n">
        <x:f>ABS(Tabelle1!$Y$72-Tabelle1!$Y$84)/SQRT((40*41/12)*(1/12+1/12)*Tabelle1!$Y$63)</x:f>
        <x:v>2.5525890991231988</x:v>
      </x:c>
      <x:c r="C26" s="100" t="n">
        <x:f>2*(1-_xlfn.NORM.S.DIST(ABS(B26),TRUE))</x:f>
        <x:v>0.010692555721995012</x:v>
      </x:c>
      <x:c r="D26" s="100" t="n">
        <x:f>MIN(1,3*C26)</x:f>
        <x:v>0.032077667165985035</x:v>
      </x:c>
      <x:c r="E26" s="78" t="str">
        <x:f>IF(D26&lt;0.05,"signifikant","nicht signifikant")</x:f>
        <x:v>signifikant</x:v>
      </x:c>
      <x:c r="F26" s="54"/>
      <x:c r="G26" s="54"/>
      <x:c r="H26" s="54"/>
      <x:c r="I26" s="54"/>
    </x:row>
    <x:row r="27">
      <x:c r="A27" s="76" t="str">
        <x:v>Digitales 3D-Modell vs. physisches 3D-Modell</x:v>
      </x:c>
      <x:c r="B27" s="101" t="n">
        <x:f>ABS(Tabelle1!$Y$74-Tabelle1!$Y$84)/SQRT((40*41/12)*(1/16+1/12)*Tabelle1!$Y$63)</x:f>
        <x:v>1.7197330012412022</x:v>
      </x:c>
      <x:c r="C27" s="102" t="n">
        <x:f>2*(1-_xlfn.NORM.S.DIST(ABS(B27),TRUE))</x:f>
        <x:v>0.08548098614915611</x:v>
      </x:c>
      <x:c r="D27" s="102" t="n">
        <x:f>MIN(1,3*C27)</x:f>
        <x:v>0.25644295844746834</x:v>
      </x:c>
      <x:c r="E27" s="76" t="str">
        <x:f>IF(D27&lt;0.05,"signifikant","nicht signifikant")</x:f>
        <x:v>nicht signifikant</x:v>
      </x:c>
      <x:c r="F27" s="54"/>
      <x:c r="G27" s="54"/>
      <x:c r="H27" s="54"/>
      <x:c r="I27" s="54"/>
    </x:row>
    <x:row r="28">
      <x:c r="A28" s="54"/>
      <x:c r="B28" s="54"/>
      <x:c r="C28" s="54"/>
      <x:c r="D28" s="54"/>
      <x:c r="E28" s="54"/>
      <x:c r="F28" s="54"/>
      <x:c r="G28" s="54"/>
      <x:c r="H28" s="54"/>
      <x:c r="I28" s="54"/>
    </x:row>
    <x:row r="29">
      <x:c r="A29" s="54"/>
      <x:c r="B29" s="54"/>
      <x:c r="C29" s="54"/>
      <x:c r="D29" s="54"/>
      <x:c r="E29" s="54"/>
      <x:c r="F29" s="54"/>
      <x:c r="G29" s="54"/>
      <x:c r="H29" s="54"/>
      <x:c r="I29" s="54"/>
    </x:row>
    <x:row r="30" ht="22" customHeight="1">
      <x:c r="A30" s="66" t="str">
        <x:v>5. Zusammenhang zwischen individuellen OV- und SV-Scores innerhalb der Gruppen</x:v>
      </x:c>
      <x:c r="B30" s="66"/>
      <x:c r="C30" s="66"/>
      <x:c r="D30" s="66"/>
      <x:c r="E30" s="66"/>
      <x:c r="F30" s="66"/>
      <x:c r="G30" s="66"/>
      <x:c r="H30" s="66"/>
      <x:c r="I30" s="66"/>
    </x:row>
    <x:row r="31">
      <x:c r="A31" s="72" t="str">
        <x:v>Darstellungsform</x:v>
      </x:c>
      <x:c r="B31" s="72" t="str">
        <x:v>Pearson r</x:v>
      </x:c>
      <x:c r="C31" s="72" t="str">
        <x:v>p</x:v>
      </x:c>
      <x:c r="D31" s="72" t="str">
        <x:v>Spearman ρ</x:v>
      </x:c>
      <x:c r="E31" s="72" t="str">
        <x:v>p</x:v>
      </x:c>
      <x:c r="F31" s="72" t="str">
        <x:v>Interpretation</x:v>
      </x:c>
      <x:c r="G31" s="72"/>
      <x:c r="H31" s="72"/>
      <x:c r="I31" s="72"/>
    </x:row>
    <x:row r="32">
      <x:c r="A32" s="76" t="str">
        <x:v>Lageplan</x:v>
      </x:c>
      <x:c r="B32" s="101" t="n">
        <x:f>Tabelle1!Q175</x:f>
        <x:v>0.3894195645496058</x:v>
      </x:c>
      <x:c r="C32" s="101" t="n">
        <x:f>Tabelle1!Q179</x:f>
        <x:v>0.21084233563577312</x:v>
      </x:c>
      <x:c r="D32" s="101" t="n">
        <x:v>0.3096575654563111</x:v>
      </x:c>
      <x:c r="E32" s="101" t="n">
        <x:v>0.3273490265226961</x:v>
      </x:c>
      <x:c r="F32" s="76" t="str">
        <x:v>positiver, aber nicht signifikanter Zusammenhang</x:v>
      </x:c>
      <x:c r="G32" s="76"/>
      <x:c r="H32" s="76"/>
      <x:c r="I32" s="76"/>
    </x:row>
    <x:row r="33">
      <x:c r="A33" s="76" t="str">
        <x:v>Digitales 3D-Modell</x:v>
      </x:c>
      <x:c r="B33" s="101" t="n">
        <x:f>Tabelle1!T179</x:f>
        <x:v>0.3910503215473692</x:v>
      </x:c>
      <x:c r="C33" s="101" t="n">
        <x:f>Tabelle1!T183</x:f>
        <x:v>0.1342079120998503</x:v>
      </x:c>
      <x:c r="D33" s="101" t="n">
        <x:v>0.35321459122181537</x:v>
      </x:c>
      <x:c r="E33" s="101" t="n">
        <x:v>0.17959797453934956</x:v>
      </x:c>
      <x:c r="F33" s="76" t="str">
        <x:v>positiver, aber nicht signifikanter Zusammenhang</x:v>
      </x:c>
      <x:c r="G33" s="76"/>
      <x:c r="H33" s="76"/>
      <x:c r="I33" s="76"/>
    </x:row>
    <x:row r="34">
      <x:c r="A34" s="78" t="str">
        <x:v>Physisches 3D-Modell</x:v>
      </x:c>
      <x:c r="B34" s="98" t="n">
        <x:f>Tabelle1!V179</x:f>
        <x:v>0.7365401510766542</x:v>
      </x:c>
      <x:c r="C34" s="98" t="n">
        <x:f>Tabelle1!V183</x:f>
        <x:v>0.006294649172816182</x:v>
      </x:c>
      <x:c r="D34" s="98" t="n">
        <x:v>0.6636740896194836</x:v>
      </x:c>
      <x:c r="E34" s="98" t="n">
        <x:v>0.018611803375602157</x:v>
      </x:c>
      <x:c r="F34" s="78" t="str">
        <x:v>deutlicher positiver und statistisch signifikanter Zusammenhang</x:v>
      </x:c>
      <x:c r="G34" s="78"/>
      <x:c r="H34" s="78"/>
      <x:c r="I34" s="78"/>
    </x:row>
    <x:row r="35">
      <x:c r="A35" s="54"/>
      <x:c r="B35" s="54"/>
      <x:c r="C35" s="54"/>
      <x:c r="D35" s="54"/>
      <x:c r="E35" s="54"/>
      <x:c r="F35" s="54"/>
      <x:c r="G35" s="54"/>
      <x:c r="H35" s="54"/>
      <x:c r="I35" s="54"/>
    </x:row>
    <x:row r="36">
      <x:c r="A36" s="54"/>
      <x:c r="B36" s="54"/>
      <x:c r="C36" s="54"/>
      <x:c r="D36" s="54"/>
      <x:c r="E36" s="54"/>
      <x:c r="F36" s="54"/>
      <x:c r="G36" s="54"/>
      <x:c r="H36" s="54"/>
      <x:c r="I36" s="54"/>
    </x:row>
    <x:row r="37" ht="22" customHeight="1">
      <x:c r="A37" s="66" t="str">
        <x:v>6. Vier Dimensionen des räumlichen Verständnisses (deskriptiv)</x:v>
      </x:c>
      <x:c r="B37" s="66"/>
      <x:c r="C37" s="66"/>
      <x:c r="D37" s="66"/>
      <x:c r="E37" s="66"/>
      <x:c r="F37" s="66"/>
      <x:c r="G37" s="66"/>
      <x:c r="H37" s="66"/>
      <x:c r="I37" s="66"/>
    </x:row>
    <x:row r="38">
      <x:c r="A38" s="72" t="str">
        <x:v>Darstellungsform</x:v>
      </x:c>
      <x:c r="B38" s="72" t="str">
        <x:v>OV Erfassung (M)</x:v>
      </x:c>
      <x:c r="C38" s="72" t="str">
        <x:v>OV Lokalisierung (M)</x:v>
      </x:c>
      <x:c r="D38" s="72" t="str">
        <x:v>OV Perspektive (M)</x:v>
      </x:c>
      <x:c r="E38" s="72" t="str">
        <x:v>OV Maß/Größe/Höhe (M)</x:v>
      </x:c>
      <x:c r="F38" s="72" t="str">
        <x:v>SV Erfassung (M)</x:v>
      </x:c>
      <x:c r="G38" s="72" t="str">
        <x:v>SV Lokalisierung (M)</x:v>
      </x:c>
      <x:c r="H38" s="72" t="str">
        <x:v>SV Perspektive (M)</x:v>
      </x:c>
      <x:c r="I38" s="72" t="str">
        <x:v>SV Maß/Größe/Höhe (M)</x:v>
      </x:c>
    </x:row>
    <x:row r="39">
      <x:c r="A39" s="76" t="str">
        <x:v>Lageplan</x:v>
      </x:c>
      <x:c r="B39" s="101" t="n">
        <x:f>Tabelle1!F61</x:f>
        <x:v>1.3333333333333333</x:v>
      </x:c>
      <x:c r="C39" s="101" t="n">
        <x:f>Tabelle1!G61</x:f>
        <x:v>0.75</x:v>
      </x:c>
      <x:c r="D39" s="101" t="n">
        <x:f>Tabelle1!H61</x:f>
        <x:v>1.1666666666666667</x:v>
      </x:c>
      <x:c r="E39" s="101" t="n">
        <x:f>Tabelle1!I61</x:f>
        <x:v>0.75</x:v>
      </x:c>
      <x:c r="F39" s="101" t="n">
        <x:f>Tabelle1!J61</x:f>
        <x:v>3.625</x:v>
      </x:c>
      <x:c r="G39" s="101" t="n">
        <x:f>Tabelle1!K61</x:f>
        <x:v>3.5833333333333335</x:v>
      </x:c>
      <x:c r="H39" s="101" t="n">
        <x:f>Tabelle1!L61</x:f>
        <x:v>4.291666666666667</x:v>
      </x:c>
      <x:c r="I39" s="101" t="n">
        <x:f>Tabelle1!M61</x:f>
        <x:v>2.6666666666666665</x:v>
      </x:c>
    </x:row>
    <x:row r="40">
      <x:c r="A40" s="76" t="str">
        <x:v>Digitales 3D-Modell</x:v>
      </x:c>
      <x:c r="B40" s="101" t="n">
        <x:f>Tabelle1!F62</x:f>
        <x:v>1.625</x:v>
      </x:c>
      <x:c r="C40" s="101" t="n">
        <x:f>Tabelle1!G62</x:f>
        <x:v>1.25</x:v>
      </x:c>
      <x:c r="D40" s="101" t="n">
        <x:f>Tabelle1!H62</x:f>
        <x:v>1.4375</x:v>
      </x:c>
      <x:c r="E40" s="101" t="n">
        <x:f>Tabelle1!I62</x:f>
        <x:v>0.4375</x:v>
      </x:c>
      <x:c r="F40" s="101" t="n">
        <x:f>Tabelle1!J62</x:f>
        <x:v>3.65625</x:v>
      </x:c>
      <x:c r="G40" s="101" t="n">
        <x:f>Tabelle1!K62</x:f>
        <x:v>3.96875</x:v>
      </x:c>
      <x:c r="H40" s="101" t="n">
        <x:f>Tabelle1!L62</x:f>
        <x:v>3.75</x:v>
      </x:c>
      <x:c r="I40" s="101" t="n">
        <x:f>Tabelle1!M62</x:f>
        <x:v>2.25</x:v>
      </x:c>
    </x:row>
    <x:row r="41">
      <x:c r="A41" s="76" t="str">
        <x:v>Physisches 3D-Modell</x:v>
      </x:c>
      <x:c r="B41" s="101" t="n">
        <x:f>Tabelle1!F63</x:f>
        <x:v>1.75</x:v>
      </x:c>
      <x:c r="C41" s="101" t="n">
        <x:f>Tabelle1!G63</x:f>
        <x:v>1.25</x:v>
      </x:c>
      <x:c r="D41" s="101" t="n">
        <x:f>Tabelle1!H63</x:f>
        <x:v>1.5833333333333333</x:v>
      </x:c>
      <x:c r="E41" s="101" t="n">
        <x:f>Tabelle1!I63</x:f>
        <x:v>1.25</x:v>
      </x:c>
      <x:c r="F41" s="101" t="n">
        <x:f>Tabelle1!J63</x:f>
        <x:v>4.291666666666667</x:v>
      </x:c>
      <x:c r="G41" s="101" t="n">
        <x:f>Tabelle1!K63</x:f>
        <x:v>4</x:v>
      </x:c>
      <x:c r="H41" s="101" t="n">
        <x:f>Tabelle1!L63</x:f>
        <x:v>4.25</x:v>
      </x:c>
      <x:c r="I41" s="101" t="n">
        <x:f>Tabelle1!M63</x:f>
        <x:v>2.9583333333333335</x:v>
      </x:c>
    </x:row>
    <x:row r="42">
      <x:c r="A42" s="54"/>
      <x:c r="B42" s="54"/>
      <x:c r="C42" s="54"/>
      <x:c r="D42" s="54"/>
      <x:c r="E42" s="54"/>
      <x:c r="F42" s="54"/>
      <x:c r="G42" s="54"/>
      <x:c r="H42" s="54"/>
      <x:c r="I42" s="54"/>
    </x:row>
    <x:row r="43">
      <x:c r="A43" s="54"/>
      <x:c r="B43" s="54"/>
      <x:c r="C43" s="54"/>
      <x:c r="D43" s="54"/>
      <x:c r="E43" s="54"/>
      <x:c r="F43" s="54"/>
      <x:c r="G43" s="54"/>
      <x:c r="H43" s="54"/>
      <x:c r="I43" s="54"/>
    </x:row>
    <x:row r="44" ht="22" customHeight="1">
      <x:c r="A44" s="66" t="str">
        <x:v>7. Ergebnis bezogen auf die Forschungsfragen</x:v>
      </x:c>
      <x:c r="B44" s="66"/>
      <x:c r="C44" s="66"/>
      <x:c r="D44" s="66"/>
      <x:c r="E44" s="66"/>
      <x:c r="F44" s="66"/>
      <x:c r="G44" s="66"/>
      <x:c r="H44" s="66"/>
      <x:c r="I44" s="66"/>
    </x:row>
    <x:row r="45" ht="54" customHeight="1">
      <x:c r="A45" s="76" t="str">
        <x:v>Forschungsfrage 1</x:v>
      </x:c>
      <x:c r="B45" s="76" t="str">
        <x:v>Das physische 3D-Modell erreicht den höchsten Gruppenmittelwert des OV-Individualscores (5,83/8). Der Gruppenvergleich ist signifikant (H = 6,692; p = 0,035). Im korrigierten Post-hoc-Test unterscheidet sich das physische 3D-Modell signifikant vom Lageplan; die übrigen Paarvergleiche sind nicht signifikant.</x:v>
      </x:c>
      <x:c r="C45" s="76"/>
      <x:c r="D45" s="76"/>
      <x:c r="E45" s="76"/>
      <x:c r="F45" s="76"/>
      <x:c r="G45" s="76"/>
      <x:c r="H45" s="76"/>
      <x:c r="I45" s="76"/>
    </x:row>
    <x:row r="46" ht="54" customHeight="1">
      <x:c r="A46" s="76" t="str">
        <x:v>Forschungsfrage 2</x:v>
      </x:c>
      <x:c r="B46" s="76" t="str">
        <x:v>Beim aus 8 Items gebildeten personenbezogenen SV_GESAMT-Score erreicht das physische 3D-Modell den höchsten Gruppenmittelwert (3,875/5), der Gruppenunterschied ist jedoch nicht signifikant (p = 0,123). Beim separat ausgewerteten globalen Item liegt das digitale 3D-Modell deskriptiv vorn (3,688/5).</x:v>
      </x:c>
      <x:c r="C46" s="76"/>
      <x:c r="D46" s="76"/>
      <x:c r="E46" s="76"/>
      <x:c r="F46" s="76"/>
      <x:c r="G46" s="76"/>
      <x:c r="H46" s="76"/>
      <x:c r="I46" s="76"/>
    </x:row>
    <x:row r="47" ht="54" customHeight="1">
      <x:c r="A47" s="76" t="str">
        <x:v>Forschungsfrage 3</x:v>
      </x:c>
      <x:c r="B47" s="76" t="str">
        <x:v>Ein statistisch signifikanter positiver Zusammenhang zwischen objektiver Leistung und subjektiver Verständlichkeit zeigt sich nur beim physischen 3D-Modell (Pearson r = 0,737; p = 0,006). Ein Spearman-Robustheitscheck bestätigt dieses Muster (ρ = 0,664; p = 0,019).</x:v>
      </x:c>
      <x:c r="C47" s="76"/>
      <x:c r="D47" s="76"/>
      <x:c r="E47" s="76"/>
      <x:c r="F47" s="76"/>
      <x:c r="G47" s="76"/>
      <x:c r="H47" s="76"/>
      <x:c r="I47" s="76"/>
    </x:row>
    <x:row r="48">
      <x:c r="A48" s="54"/>
      <x:c r="B48" s="54"/>
      <x:c r="C48" s="54"/>
      <x:c r="D48" s="54"/>
      <x:c r="E48" s="54"/>
      <x:c r="F48" s="54"/>
      <x:c r="G48" s="54"/>
      <x:c r="H48" s="54"/>
      <x:c r="I48" s="54"/>
    </x:row>
    <x:row r="49">
      <x:c r="A49" s="54"/>
      <x:c r="B49" s="54"/>
      <x:c r="C49" s="54"/>
      <x:c r="D49" s="54"/>
      <x:c r="E49" s="54"/>
      <x:c r="F49" s="54"/>
      <x:c r="G49" s="54"/>
      <x:c r="H49" s="54"/>
      <x:c r="I49" s="54"/>
    </x:row>
    <x:row r="50" ht="22" customHeight="1">
      <x:c r="A50" s="66" t="str">
        <x:v>8. Durchgeführte Korrekturen und Prüfungen</x:v>
      </x:c>
      <x:c r="B50" s="66"/>
      <x:c r="C50" s="66"/>
      <x:c r="D50" s="66"/>
      <x:c r="E50" s="66"/>
      <x:c r="F50" s="66"/>
      <x:c r="G50" s="66"/>
      <x:c r="H50" s="66"/>
      <x:c r="I50" s="66"/>
    </x:row>
    <x:row r="51">
      <x:c r="A51" s="72" t="str">
        <x:v>Bereich</x:v>
      </x:c>
      <x:c r="B51" s="72" t="str">
        <x:v>Befund</x:v>
      </x:c>
      <x:c r="C51" s="72" t="str">
        <x:v>Korrektur / Ergebnis</x:v>
      </x:c>
      <x:c r="D51" s="72"/>
      <x:c r="E51" s="72" t="str">
        <x:v>Korrektur / Ergebnis</x:v>
      </x:c>
      <x:c r="F51" s="72"/>
      <x:c r="G51" s="72"/>
      <x:c r="H51" s="72"/>
      <x:c r="I51" s="72"/>
    </x:row>
    <x:row r="52" ht="58" customHeight="1">
      <x:c r="A52" s="76" t="str">
        <x:v>OV-Kodierung</x:v>
      </x:c>
      <x:c r="B52" s="76" t="str">
        <x:v>Alle vorhandenen Werte waren korrekt, aber viele abgeleitete Zellen waren nur als Werte statt als Formeln hinterlegt.</x:v>
      </x:c>
      <x:c r="C52" s="76" t="str">
        <x:v>Formeln für OV01–OV08_KORREKT sowie OV_GESAMT und die vier OV-Dimensionen für alle 40 Fälle wiederhergestellt.</x:v>
      </x:c>
      <x:c r="D52" s="76"/>
      <x:c r="E52" s="76" t="str">
        <x:v>Formeln für OV01–OV08_KORREKT sowie OV_GESAMT und die vier OV-Dimensionen für alle 40 Fälle wiederhergestellt.</x:v>
      </x:c>
      <x:c r="F52" s="76"/>
      <x:c r="G52" s="76"/>
      <x:c r="H52" s="76"/>
      <x:c r="I52" s="76"/>
    </x:row>
    <x:row r="53" ht="58" customHeight="1">
      <x:c r="A53" s="76" t="str">
        <x:v>SV-Berechnung</x:v>
      </x:c>
      <x:c r="B53" s="76" t="str">
        <x:v>SV_GESAMT und die vier Dimensionsmittelwerte waren numerisch korrekt, aber Formeln waren nur teilweise vorhanden.</x:v>
      </x:c>
      <x:c r="C53" s="76" t="str">
        <x:v>Formeln für alle 40 Fälle konsistent wiederhergestellt.</x:v>
      </x:c>
      <x:c r="D53" s="76"/>
      <x:c r="E53" s="76" t="str">
        <x:v>Formeln für alle 40 Fälle konsistent wiederhergestellt.</x:v>
      </x:c>
      <x:c r="F53" s="76"/>
      <x:c r="G53" s="76"/>
      <x:c r="H53" s="76"/>
      <x:c r="I53" s="76"/>
    </x:row>
    <x:row r="54" ht="58" customHeight="1">
      <x:c r="A54" s="76" t="str">
        <x:v>Einschlussfilter</x:v>
      </x:c>
      <x:c r="B54" s="76" t="str">
        <x:v>Mehrere Gruppenzusammenfassungen verwendeten die Darstellungsform, aber nicht zusätzlich EINSCHLUSS.</x:v>
      </x:c>
      <x:c r="C54" s="76" t="str">
        <x:v>Gruppenmittelwerte und n-Formeln auf eingeschlossene Fälle ausgerichtet; aktuelle Zahlen ändern sich nicht, da alle 40 Fälle eingeschlossen sind.</x:v>
      </x:c>
      <x:c r="D54" s="76"/>
      <x:c r="E54" s="76" t="str">
        <x:v>Gruppenmittelwerte und n-Formeln auf eingeschlossene Fälle ausgerichtet; aktuelle Zahlen ändern sich nicht, da alle 40 Fälle eingeschlossen sind.</x:v>
      </x:c>
      <x:c r="F54" s="76"/>
      <x:c r="G54" s="76"/>
      <x:c r="H54" s="76"/>
      <x:c r="I54" s="76"/>
    </x:row>
    <x:row r="55" ht="58" customHeight="1">
      <x:c r="A55" s="76" t="str">
        <x:v>OV Kruskal-Wallis</x:v>
      </x:c>
      <x:c r="B55" s="76" t="str">
        <x:v>H und Ranglogik waren korrekt. Der p-Wert verwendete jedoch den gerundeten Wert 6,69 statt die exakte H-Zelle.</x:v>
      </x:c>
      <x:c r="C55" s="76" t="str">
        <x:v>p-Wert mit dem exakten H-Wert unabhängig neu berechnet: H = 6,692; p = 0,03522.</x:v>
      </x:c>
      <x:c r="D55" s="76"/>
      <x:c r="E55" s="76" t="str">
        <x:v>p-Wert mit dem exakten H-Wert unabhängig neu berechnet: H = 6,692; p = 0,03522.</x:v>
      </x:c>
      <x:c r="F55" s="76"/>
      <x:c r="G55" s="76"/>
      <x:c r="H55" s="76"/>
      <x:c r="I55" s="76"/>
    </x:row>
    <x:row r="56" ht="58" customHeight="1">
      <x:c r="A56" s="76" t="str">
        <x:v>SV Kruskal-Wallis</x:v>
      </x:c>
      <x:c r="B56" s="76" t="str">
        <x:v>Die Tie-Korrektur zählte jede Bindungsgruppe mehrfach und war deshalb falsch.</x:v>
      </x:c>
      <x:c r="C56" s="76" t="str">
        <x:v>Tie-Korrektur korrigiert: H = 4,191; p = 0,12298 statt H = 4,263; p = 0,11866.</x:v>
      </x:c>
      <x:c r="D56" s="76"/>
      <x:c r="E56" s="76" t="str">
        <x:v>Tie-Korrektur korrigiert: H = 4,191; p = 0,12298 statt H = 4,263; p = 0,11866.</x:v>
      </x:c>
      <x:c r="F56" s="76"/>
      <x:c r="G56" s="76"/>
      <x:c r="H56" s="76"/>
      <x:c r="I56" s="76"/>
    </x:row>
    <x:row r="57" ht="58" customHeight="1">
      <x:c r="A57" s="76" t="str">
        <x:v>Post-hoc OV</x:v>
      </x:c>
      <x:c r="B57" s="76" t="str">
        <x:v>Die Paarvergleiche waren begonnen, aber nicht vollständig und ohne Korrektur für drei Vergleiche.</x:v>
      </x:c>
      <x:c r="C57" s="76" t="str">
        <x:v>Alle drei Dunn-Vergleiche ergänzt und Bonferroni-korrigiert. Nur Lageplan vs. physisches 3D-Modell bleibt signifikant (p_adj = 0,0321).</x:v>
      </x:c>
      <x:c r="D57" s="76"/>
      <x:c r="E57" s="76" t="str">
        <x:v>Alle drei Dunn-Vergleiche ergänzt und Bonferroni-korrigiert. Nur Lageplan vs. physisches 3D-Modell bleibt signifikant (p_adj = 0,0321).</x:v>
      </x:c>
      <x:c r="F57" s="76"/>
      <x:c r="G57" s="76"/>
      <x:c r="H57" s="76"/>
      <x:c r="I57" s="76"/>
    </x:row>
    <x:row r="58" ht="58" customHeight="1">
      <x:c r="A58" s="76" t="str">
        <x:v>Korrelationen</x:v>
      </x:c>
      <x:c r="B58" s="76" t="str">
        <x:v>Die vorhandenen Pearson-Korrelationen und p-Werte waren rechnerisch korrekt.</x:v>
      </x:c>
      <x:c r="C58" s="76" t="str">
        <x:v>Unverändert bestätigt; zusätzlich Spearman als Robustheitscheck ausgewiesen.</x:v>
      </x:c>
      <x:c r="D58" s="76"/>
      <x:c r="E58" s="76" t="str">
        <x:v>Unverändert bestätigt; zusätzlich Spearman als Robustheitscheck ausgewiesen.</x:v>
      </x:c>
      <x:c r="F58" s="76"/>
      <x:c r="G58" s="76"/>
      <x:c r="H58" s="76"/>
      <x:c r="I58" s="76"/>
    </x:row>
    <x:row r="59" ht="58" customHeight="1">
      <x:c r="A59" s="76" t="str">
        <x:v>Dimensionen</x:v>
      </x:c>
      <x:c r="B59" s="76" t="str">
        <x:v>Die Zuordnung der je zwei OV- und SV-Items zu den vier Dimensionen wurde vom Auftraggeber bestätigt.</x:v>
      </x:c>
      <x:c r="C59" s="76" t="str">
        <x:v>Alle Dimensionswerte unabhängig nachgerechnet; keine Abweichungen gefunden.</x:v>
      </x:c>
      <x:c r="D59" s="76"/>
      <x:c r="E59" s="76" t="str">
        <x:v>Alle Dimensionswerte unabhängig nachgerechnet; keine Abweichungen gefunden.</x:v>
      </x:c>
      <x:c r="F59" s="76"/>
      <x:c r="G59" s="76"/>
      <x:c r="H59" s="76"/>
      <x:c r="I59" s="76"/>
    </x:row>
    <x:row r="60">
      <x:c r="A60" s="54"/>
      <x:c r="B60" s="54"/>
      <x:c r="C60" s="54"/>
      <x:c r="D60" s="54"/>
      <x:c r="E60" s="54"/>
      <x:c r="F60" s="54"/>
      <x:c r="G60" s="54"/>
      <x:c r="H60" s="54"/>
      <x:c r="I60" s="54"/>
    </x:row>
    <x:row r="61" ht="34" customHeight="1">
      <x:c r="A61" s="76" t="str">
        <x:v>Methodischer Hinweis: Die Untersuchung ist explorativ und umfasst kleine, ungleich große Gruppen (n = 12 / 16 / 12). Die Gruppenzuweisung erfolgte manuell mit dem Ziel einer möglichst gleichmäßigen Verteilung und nicht randomisiert. Nach der ersten Erhebungsphase wurde die digitale Bedingung unter gleichen inhaltlichen und technischen Bedingungen erneut rekrutiert; die finalen Gruppengrößen wurden ohne nachträgliche Reduktion ausgewertet. Die Kruskal-Wallis-Tests sind für die drei unabhängigen Gruppen die gewählte Hauptanalyse. Die Dimensionswerte werden entsprechend dem Studiendesign deskriptiv interpretiert. Pearson wird als Hauptanalyse für den Zusammenhang beibehalten; Spearman dient ergänzend als Robustheitscheck.</x:v>
      </x:c>
      <x:c r="B61" s="76"/>
      <x:c r="C61" s="76"/>
      <x:c r="D61" s="76"/>
      <x:c r="E61" s="76"/>
      <x:c r="F61" s="76"/>
      <x:c r="G61" s="76"/>
      <x:c r="H61" s="76"/>
      <x:c r="I61" s="76"/>
    </x:row>
    <x:row r="62" ht="34" customHeight="1">
      <x:c r="A62" s="76"/>
      <x:c r="B62" s="76"/>
      <x:c r="C62" s="76"/>
      <x:c r="D62" s="76"/>
      <x:c r="E62" s="76"/>
      <x:c r="F62" s="76"/>
      <x:c r="G62" s="76"/>
      <x:c r="H62" s="76"/>
      <x:c r="I62" s="76"/>
    </x:row>
    <x:row r="63" ht="36" customHeight="1">
      <x:c r="A63" s="155" t="str">
        <x:v>9. Ergänzende Auswertung der Einzelitems und offenen Fragen</x:v>
      </x:c>
      <x:c r="B63" s="155"/>
      <x:c r="C63" s="155"/>
      <x:c r="D63" s="155"/>
      <x:c r="E63" s="155"/>
      <x:c r="F63" s="155"/>
      <x:c r="G63" s="155"/>
      <x:c r="H63" s="155"/>
      <x:c r="I63" s="155"/>
    </x:row>
    <x:row r="64">
      <x:c r="A64" s="156" t="str">
        <x:v>Bereich</x:v>
      </x:c>
      <x:c r="B64" s="156" t="str">
        <x:v>Ergebnis</x:v>
      </x:c>
      <x:c r="C64" s="156" t="str">
        <x:v>Einordnung</x:v>
      </x:c>
      <x:c r="D64" s="147"/>
      <x:c r="E64" s="147"/>
      <x:c r="F64" s="147"/>
      <x:c r="G64" s="147"/>
      <x:c r="H64" s="147"/>
      <x:c r="I64" s="147"/>
    </x:row>
    <x:row r="65">
      <x:c r="A65" s="153" t="str">
        <x:v>Vorerfahrung</x:v>
      </x:c>
      <x:c r="B65" s="153" t="str">
        <x:v>40/40 waren noch nie am Standort; 35 ohne Fachkenntnisse, 5 mit Grundkenntnissen.</x:v>
      </x:c>
      <x:c r="C65" s="153" t="str">
        <x:v>Damit liegt die Stichprobe entsprechend der Kodierung überwiegend klar im vorgesehenen Laienbereich.</x:v>
      </x:c>
      <x:c r="D65" s="147"/>
      <x:c r="E65" s="147"/>
      <x:c r="F65" s="147"/>
      <x:c r="G65" s="147"/>
      <x:c r="H65" s="147"/>
      <x:c r="I65" s="147"/>
    </x:row>
    <x:row r="66">
      <x:c r="A66" s="153" t="str">
        <x:v>Objektive Einzelitems</x:v>
      </x:c>
      <x:c r="B66" s="153" t="str">
        <x:v>Schwierigstes Item in der Gesamtstichprobe: OV07 (Distanz; 30,0 % korrekt); besonders auffällig sind OV03 beim Lageplan (8,3 %) und OV08 beim digitalen 3D-Modell (18,8 %).</x:v>
      </x:c>
      <x:c r="C66" s="153" t="str">
        <x:v>Deskriptiv; keine zusätzlichen Item-Hypothesentests.</x:v>
      </x:c>
      <x:c r="D66" s="147"/>
      <x:c r="E66" s="147"/>
      <x:c r="F66" s="147"/>
      <x:c r="G66" s="147"/>
      <x:c r="H66" s="147"/>
      <x:c r="I66" s="147"/>
    </x:row>
    <x:row r="67">
      <x:c r="A67" s="153" t="str">
        <x:v>Subjektive Einzelitems</x:v>
      </x:c>
      <x:c r="B67" s="153" t="str">
        <x:v>SV07 (Entfernungen) weist mit 2,28/5 den niedrigsten Mittelwert der Gesamtstichprobe auf.</x:v>
      </x:c>
      <x:c r="C67" s="153" t="str">
        <x:v>Deckt sich deutlich mit den Freitextangaben zum fehlenden Maßstab/Distanzangaben.</x:v>
      </x:c>
      <x:c r="D67" s="147"/>
      <x:c r="E67" s="147"/>
      <x:c r="F67" s="147"/>
      <x:c r="G67" s="147"/>
      <x:c r="H67" s="147"/>
      <x:c r="I67" s="147"/>
    </x:row>
    <x:row r="68">
      <x:c r="A68" s="153" t="str">
        <x:v>Offene Fragen</x:v>
      </x:c>
      <x:c r="B68" s="153" t="str">
        <x:v>Häufigstes Problem: Maßstab/Distanz (10 Nennungen in SV_OFFEN). Häufigste Hilfen: visuelle Markierungen/Farben (12), 3D/Interaktion (9), Struktur/Übersicht (7).</x:v>
      </x:c>
      <x:c r="C68" s="153" t="str">
        <x:v>Mehrfachkodierung möglich; vollständige Kodierung in den neuen Blättern nachvollziehbar.</x:v>
      </x:c>
      <x:c r="D68" s="147"/>
      <x:c r="E68" s="147"/>
      <x:c r="F68" s="147"/>
      <x:c r="G68" s="147"/>
      <x:c r="H68" s="147"/>
      <x:c r="I68" s="147"/>
    </x:row>
  </x:sheetData>
  <x:mergeCells>
    <x:mergeCell ref="A1:I1"/>
    <x:mergeCell ref="A3:I3"/>
    <x:mergeCell ref="A10:I10"/>
    <x:mergeCell ref="A17:F17"/>
    <x:mergeCell ref="A23:E23"/>
    <x:mergeCell ref="A30:F30"/>
    <x:mergeCell ref="A37:I37"/>
    <x:mergeCell ref="A44:I44"/>
    <x:mergeCell ref="A50:I50"/>
    <x:mergeCell ref="C4:I4"/>
    <x:mergeCell ref="C5:I5"/>
    <x:mergeCell ref="C6:I6"/>
    <x:mergeCell ref="C7:I7"/>
    <x:mergeCell ref="C8:I8"/>
    <x:mergeCell ref="F31:I31"/>
    <x:mergeCell ref="F32:I32"/>
    <x:mergeCell ref="F33:I33"/>
    <x:mergeCell ref="F34:I34"/>
    <x:mergeCell ref="B45:I45"/>
    <x:mergeCell ref="B46:I46"/>
    <x:mergeCell ref="B47:I47"/>
    <x:mergeCell ref="B51:D51"/>
    <x:mergeCell ref="E51:I51"/>
    <x:mergeCell ref="B52:D52"/>
    <x:mergeCell ref="E52:I52"/>
    <x:mergeCell ref="B53:D53"/>
    <x:mergeCell ref="E53:I53"/>
    <x:mergeCell ref="B54:D54"/>
    <x:mergeCell ref="E54:I54"/>
    <x:mergeCell ref="B55:D55"/>
    <x:mergeCell ref="E55:I55"/>
    <x:mergeCell ref="B56:D56"/>
    <x:mergeCell ref="E56:I56"/>
    <x:mergeCell ref="B57:D57"/>
    <x:mergeCell ref="E57:I57"/>
    <x:mergeCell ref="B58:D58"/>
    <x:mergeCell ref="E58:I58"/>
    <x:mergeCell ref="B59:D59"/>
    <x:mergeCell ref="E59:I59"/>
    <x:mergeCell ref="C9:I9"/>
    <x:mergeCell ref="A61:I62"/>
  </x:mergeCells>
  <x:pageMargins left="0.7" right="0.7" top="0.75" bottom="0.75" header="0.3" footer="0.3"/>
</x:worksheet>
</file>

<file path=xl/worksheets/sheet3.xml><?xml version="1.0" encoding="utf-8"?>
<x:worksheet xmlns:x="http://schemas.openxmlformats.org/spreadsheetml/2006/main">
  <x:sheetFormatPr defaultRowHeight="15"/>
  <x:cols>
    <x:col min="1" max="1" width="23" hidden="0" customWidth="1"/>
    <x:col min="2" max="2" width="34" hidden="0" customWidth="1"/>
    <x:col min="3" max="3" width="20" hidden="0" customWidth="1"/>
    <x:col min="4" max="4" width="20" hidden="0" customWidth="1"/>
    <x:col min="5" max="5" width="20" hidden="0" customWidth="1"/>
    <x:col min="6" max="6" width="20" hidden="0" customWidth="1"/>
  </x:cols>
  <x:sheetData>
    <x:row r="1" ht="32" customHeight="1">
      <x:c r="A1" s="154" t="str">
        <x:v>Zusätzliche quantitative Auswertung: Einzelitems und Stichprobe</x:v>
      </x:c>
      <x:c r="B1" s="154"/>
      <x:c r="C1" s="154"/>
      <x:c r="D1" s="154"/>
      <x:c r="E1" s="154"/>
      <x:c r="F1" s="154"/>
    </x:row>
    <x:row r="2">
      <x:c r="A2" s="153"/>
      <x:c r="B2" s="153"/>
      <x:c r="C2" s="153"/>
      <x:c r="D2" s="153"/>
      <x:c r="E2" s="153"/>
      <x:c r="F2" s="153"/>
    </x:row>
    <x:row r="3">
      <x:c r="A3" s="155" t="str">
        <x:v>1. Stichprobe, Vorerfahrung und Bearbeitungszeit</x:v>
      </x:c>
      <x:c r="B3" s="155"/>
      <x:c r="C3" s="155"/>
      <x:c r="D3" s="155"/>
      <x:c r="E3" s="155"/>
      <x:c r="F3" s="155"/>
    </x:row>
    <x:row r="4">
      <x:c r="A4" s="156" t="str">
        <x:v>Kennzahl</x:v>
      </x:c>
      <x:c r="B4" s="156" t="str">
        <x:v>Gesamtstichprobe</x:v>
      </x:c>
      <x:c r="C4" s="156" t="str">
        <x:v>Lageplan</x:v>
      </x:c>
      <x:c r="D4" s="156" t="str">
        <x:v>Digitales 3D-Modell</x:v>
      </x:c>
      <x:c r="E4" s="156" t="str">
        <x:v>Physisches 3D-Modell</x:v>
      </x:c>
      <x:c r="F4" s="156" t="str">
        <x:v>Hinweis</x:v>
      </x:c>
    </x:row>
    <x:row r="5">
      <x:c r="A5" s="153" t="str">
        <x:v>Eingeschlossene Fälle</x:v>
      </x:c>
      <x:c r="B5" s="153" t="n">
        <x:f>COUNTIF(Tabelle1!$AS$2:$AS$41,"Einschluss")</x:f>
        <x:v>40</x:v>
      </x:c>
      <x:c r="C5" s="153" t="n">
        <x:f>COUNTIFS(Tabelle1!$B$2:$B$41,"D1_2D-LAGEPLAN",Tabelle1!$AS$2:$AS$41,"Einschluss")</x:f>
        <x:v>12</x:v>
      </x:c>
      <x:c r="D5" s="153" t="n">
        <x:f>COUNTIFS(Tabelle1!$B$2:$B$41,"D2_3D-DIGITAL",Tabelle1!$AS$2:$AS$41,"Einschluss")</x:f>
        <x:v>16</x:v>
      </x:c>
      <x:c r="E5" s="153" t="n">
        <x:f>COUNTIFS(Tabelle1!$B$2:$B$41,"D3_3D-DRUCK",Tabelle1!$AS$2:$AS$41,"Einschluss")</x:f>
        <x:v>12</x:v>
      </x:c>
      <x:c r="F5" s="153" t="str">
        <x:v>Alle derzeit eingeschlossenen Datensätze.</x:v>
      </x:c>
    </x:row>
    <x:row r="6">
      <x:c r="A6" s="153" t="str">
        <x:v>Ortskenntnisse: noch nie (Code 1)</x:v>
      </x:c>
      <x:c r="B6" s="153" t="n">
        <x:f>COUNTIFS(Tabelle1!$D$2:$D$41,1,Tabelle1!$AS$2:$AS$41,"Einschluss")</x:f>
        <x:v>40</x:v>
      </x:c>
      <x:c r="C6" s="153" t="n">
        <x:f>COUNTIFS(Tabelle1!$B$2:$B$41,"D1_2D-LAGEPLAN",Tabelle1!$D$2:$D$41,1,Tabelle1!$AS$2:$AS$41,"Einschluss")</x:f>
        <x:v>12</x:v>
      </x:c>
      <x:c r="D6" s="153" t="n">
        <x:f>COUNTIFS(Tabelle1!$B$2:$B$41,"D2_3D-DIGITAL",Tabelle1!$D$2:$D$41,1,Tabelle1!$AS$2:$AS$41,"Einschluss")</x:f>
        <x:v>16</x:v>
      </x:c>
      <x:c r="E6" s="153" t="n">
        <x:f>COUNTIFS(Tabelle1!$B$2:$B$41,"D3_3D-DRUCK",Tabelle1!$D$2:$D$41,1,Tabelle1!$AS$2:$AS$41,"Einschluss")</x:f>
        <x:v>12</x:v>
      </x:c>
      <x:c r="F6" s="153" t="str">
        <x:v>Code 1 entspricht im Fragebogen „noch nie“.</x:v>
      </x:c>
    </x:row>
    <x:row r="7">
      <x:c r="A7" s="153" t="str">
        <x:v>Fachkenntnisse: keine (Code 1)</x:v>
      </x:c>
      <x:c r="B7" s="153" t="n">
        <x:f>COUNTIFS(Tabelle1!$E$2:$E$41,1,Tabelle1!$AS$2:$AS$41,"Einschluss")</x:f>
        <x:v>35</x:v>
      </x:c>
      <x:c r="C7" s="153" t="n">
        <x:f>COUNTIFS(Tabelle1!$B$2:$B$41,"D1_2D-LAGEPLAN",Tabelle1!$E$2:$E$41,1,Tabelle1!$AS$2:$AS$41,"Einschluss")</x:f>
        <x:v>10</x:v>
      </x:c>
      <x:c r="D7" s="153" t="n">
        <x:f>COUNTIFS(Tabelle1!$B$2:$B$41,"D2_3D-DIGITAL",Tabelle1!$E$2:$E$41,1,Tabelle1!$AS$2:$AS$41,"Einschluss")</x:f>
        <x:v>15</x:v>
      </x:c>
      <x:c r="E7" s="153" t="n">
        <x:f>COUNTIFS(Tabelle1!$B$2:$B$41,"D3_3D-DRUCK",Tabelle1!$E$2:$E$41,1,Tabelle1!$AS$2:$AS$41,"Einschluss")</x:f>
        <x:v>10</x:v>
      </x:c>
      <x:c r="F7" s="153" t="str">
        <x:v>Keine fachliche Vorbildung oder Erfahrung.</x:v>
      </x:c>
    </x:row>
    <x:row r="8">
      <x:c r="A8" s="153" t="str">
        <x:v>Fachkenntnisse: Grundkenntnisse (Code 2)</x:v>
      </x:c>
      <x:c r="B8" s="153" t="n">
        <x:f>COUNTIFS(Tabelle1!$E$2:$E$41,2,Tabelle1!$AS$2:$AS$41,"Einschluss")</x:f>
        <x:v>5</x:v>
      </x:c>
      <x:c r="C8" s="153" t="n">
        <x:f>COUNTIFS(Tabelle1!$B$2:$B$41,"D1_2D-LAGEPLAN",Tabelle1!$E$2:$E$41,2,Tabelle1!$AS$2:$AS$41,"Einschluss")</x:f>
        <x:v>2</x:v>
      </x:c>
      <x:c r="D8" s="153" t="n">
        <x:f>COUNTIFS(Tabelle1!$B$2:$B$41,"D2_3D-DIGITAL",Tabelle1!$E$2:$E$41,2,Tabelle1!$AS$2:$AS$41,"Einschluss")</x:f>
        <x:v>1</x:v>
      </x:c>
      <x:c r="E8" s="153" t="n">
        <x:f>COUNTIFS(Tabelle1!$B$2:$B$41,"D3_3D-DRUCK",Tabelle1!$E$2:$E$41,2,Tabelle1!$AS$2:$AS$41,"Einschluss")</x:f>
        <x:v>2</x:v>
      </x:c>
      <x:c r="F8" s="153" t="str">
        <x:v>Grundkenntnisse / erste Berührungspunkte; niemand weist Code 3–5 auf.</x:v>
      </x:c>
    </x:row>
    <x:row r="9">
      <x:c r="A9" s="153" t="str">
        <x:v>Bearbeitungszeit Mittelwert (Min.)</x:v>
      </x:c>
      <x:c r="B9" s="157" t="n">
        <x:f>SUMIFS(Tabelle1!$AQ$2:$AQ$41,Tabelle1!$AS$2:$AS$41,"Einschluss")/COUNTIF(Tabelle1!$AS$2:$AS$41,"Einschluss")/60</x:f>
        <x:v>11.919583333333332</x:v>
      </x:c>
      <x:c r="C9" s="157" t="n">
        <x:f>SUMIFS(Tabelle1!$AQ$2:$AQ$41,Tabelle1!$B$2:$B$41,"D1_2D-LAGEPLAN",Tabelle1!$AS$2:$AS$41,"Einschluss")/COUNTIFS(Tabelle1!$B$2:$B$41,"D1_2D-LAGEPLAN",Tabelle1!$AS$2:$AS$41,"Einschluss")/60</x:f>
        <x:v>11.24861111111111</x:v>
      </x:c>
      <x:c r="D9" s="157" t="n">
        <x:f>SUMIFS(Tabelle1!$AQ$2:$AQ$41,Tabelle1!$B$2:$B$41,"D2_3D-DIGITAL",Tabelle1!$AS$2:$AS$41,"Einschluss")/COUNTIFS(Tabelle1!$B$2:$B$41,"D2_3D-DIGITAL",Tabelle1!$AS$2:$AS$41,"Einschluss")/60</x:f>
        <x:v>12.454166666666667</x:v>
      </x:c>
      <x:c r="E9" s="157" t="n">
        <x:f>SUMIFS(Tabelle1!$AQ$2:$AQ$41,Tabelle1!$B$2:$B$41,"D3_3D-DRUCK",Tabelle1!$AS$2:$AS$41,"Einschluss")/COUNTIFS(Tabelle1!$B$2:$B$41,"D3_3D-DRUCK",Tabelle1!$AS$2:$AS$41,"Einschluss")/60</x:f>
        <x:v>11.877777777777776</x:v>
      </x:c>
      <x:c r="F9" s="153" t="str">
        <x:v>Deskriptive Zusatzkennzahl; kein primärer Endpunkt.</x:v>
      </x:c>
    </x:row>
    <x:row r="10">
      <x:c r="A10" s="153"/>
      <x:c r="B10" s="153"/>
      <x:c r="C10" s="153"/>
      <x:c r="D10" s="153"/>
      <x:c r="E10" s="153"/>
      <x:c r="F10" s="153"/>
    </x:row>
    <x:row r="11">
      <x:c r="A11" s="153"/>
      <x:c r="B11" s="153"/>
      <x:c r="C11" s="153"/>
      <x:c r="D11" s="153"/>
      <x:c r="E11" s="153"/>
      <x:c r="F11" s="153"/>
    </x:row>
    <x:row r="12">
      <x:c r="A12" s="155" t="str">
        <x:v>2. Objektive Einzelitems – Anteil korrekt</x:v>
      </x:c>
      <x:c r="B12" s="155"/>
      <x:c r="C12" s="155"/>
      <x:c r="D12" s="155"/>
      <x:c r="E12" s="155"/>
      <x:c r="F12" s="155"/>
    </x:row>
    <x:row r="13">
      <x:c r="A13" s="156" t="str">
        <x:v>Item</x:v>
      </x:c>
      <x:c r="B13" s="156" t="str">
        <x:v>Kurzbezeichnung</x:v>
      </x:c>
      <x:c r="C13" s="156" t="str">
        <x:v>Lageplan</x:v>
      </x:c>
      <x:c r="D13" s="156" t="str">
        <x:v>Digitales 3D-Modell</x:v>
      </x:c>
      <x:c r="E13" s="156" t="str">
        <x:v>Physisches 3D-Modell</x:v>
      </x:c>
      <x:c r="F13" s="156" t="str">
        <x:v>Gesamtstichprobe</x:v>
      </x:c>
    </x:row>
    <x:row r="14">
      <x:c r="A14" s="153" t="str">
        <x:v>OV01</x:v>
      </x:c>
      <x:c r="B14" s="153" t="str">
        <x:v>Elemente identifizieren</x:v>
      </x:c>
      <x:c r="C14" s="158" t="n">
        <x:f>SUMIFS(Tabelle1!$O$2:$O$41,Tabelle1!$B$2:$B$41,"D1_2D-LAGEPLAN",Tabelle1!$AS$2:$AS$41,"Einschluss")/COUNTIFS(Tabelle1!$B$2:$B$41,"D1_2D-LAGEPLAN",Tabelle1!$AS$2:$AS$41,"Einschluss")</x:f>
        <x:v>0.9166666666666666</x:v>
      </x:c>
      <x:c r="D14" s="158" t="n">
        <x:f>SUMIFS(Tabelle1!$O$2:$O$41,Tabelle1!$B$2:$B$41,"D2_3D-DIGITAL",Tabelle1!$AS$2:$AS$41,"Einschluss")/COUNTIFS(Tabelle1!$B$2:$B$41,"D2_3D-DIGITAL",Tabelle1!$AS$2:$AS$41,"Einschluss")</x:f>
        <x:v>1</x:v>
      </x:c>
      <x:c r="E14" s="158" t="n">
        <x:f>SUMIFS(Tabelle1!$O$2:$O$41,Tabelle1!$B$2:$B$41,"D3_3D-DRUCK",Tabelle1!$AS$2:$AS$41,"Einschluss")/COUNTIFS(Tabelle1!$B$2:$B$41,"D3_3D-DRUCK",Tabelle1!$AS$2:$AS$41,"Einschluss")</x:f>
        <x:v>1</x:v>
      </x:c>
      <x:c r="F14" s="158" t="n">
        <x:f>SUMIFS(Tabelle1!$O$2:$O$41,Tabelle1!$AS$2:$AS$41,"Einschluss")/COUNTIF(Tabelle1!$AS$2:$AS$41,"Einschluss")</x:f>
        <x:v>0.975</x:v>
      </x:c>
    </x:row>
    <x:row r="15">
      <x:c r="A15" s="153" t="str">
        <x:v>OV02</x:v>
      </x:c>
      <x:c r="B15" s="153" t="str">
        <x:v>Gliederungsstruktur erfassen</x:v>
      </x:c>
      <x:c r="C15" s="158" t="n">
        <x:f>SUMIFS(Tabelle1!$P$2:$P$41,Tabelle1!$B$2:$B$41,"D1_2D-LAGEPLAN",Tabelle1!$AS$2:$AS$41,"Einschluss")/COUNTIFS(Tabelle1!$B$2:$B$41,"D1_2D-LAGEPLAN",Tabelle1!$AS$2:$AS$41,"Einschluss")</x:f>
        <x:v>0.4166666666666667</x:v>
      </x:c>
      <x:c r="D15" s="158" t="n">
        <x:f>SUMIFS(Tabelle1!$P$2:$P$41,Tabelle1!$B$2:$B$41,"D2_3D-DIGITAL",Tabelle1!$AS$2:$AS$41,"Einschluss")/COUNTIFS(Tabelle1!$B$2:$B$41,"D2_3D-DIGITAL",Tabelle1!$AS$2:$AS$41,"Einschluss")</x:f>
        <x:v>0.625</x:v>
      </x:c>
      <x:c r="E15" s="158" t="n">
        <x:f>SUMIFS(Tabelle1!$P$2:$P$41,Tabelle1!$B$2:$B$41,"D3_3D-DRUCK",Tabelle1!$AS$2:$AS$41,"Einschluss")/COUNTIFS(Tabelle1!$B$2:$B$41,"D3_3D-DRUCK",Tabelle1!$AS$2:$AS$41,"Einschluss")</x:f>
        <x:v>0.75</x:v>
      </x:c>
      <x:c r="F15" s="158" t="n">
        <x:f>SUMIFS(Tabelle1!$P$2:$P$41,Tabelle1!$AS$2:$AS$41,"Einschluss")/COUNTIF(Tabelle1!$AS$2:$AS$41,"Einschluss")</x:f>
        <x:v>0.6</x:v>
      </x:c>
    </x:row>
    <x:row r="16">
      <x:c r="A16" s="153" t="str">
        <x:v>OV03</x:v>
      </x:c>
      <x:c r="B16" s="153" t="str">
        <x:v>Positionen bestimmen</x:v>
      </x:c>
      <x:c r="C16" s="158" t="n">
        <x:f>SUMIFS(Tabelle1!$Q$2:$Q$41,Tabelle1!$B$2:$B$41,"D1_2D-LAGEPLAN",Tabelle1!$AS$2:$AS$41,"Einschluss")/COUNTIFS(Tabelle1!$B$2:$B$41,"D1_2D-LAGEPLAN",Tabelle1!$AS$2:$AS$41,"Einschluss")</x:f>
        <x:v>0.08333333333333333</x:v>
      </x:c>
      <x:c r="D16" s="158" t="n">
        <x:f>SUMIFS(Tabelle1!$Q$2:$Q$41,Tabelle1!$B$2:$B$41,"D2_3D-DIGITAL",Tabelle1!$AS$2:$AS$41,"Einschluss")/COUNTIFS(Tabelle1!$B$2:$B$41,"D2_3D-DIGITAL",Tabelle1!$AS$2:$AS$41,"Einschluss")</x:f>
        <x:v>0.625</x:v>
      </x:c>
      <x:c r="E16" s="158" t="n">
        <x:f>SUMIFS(Tabelle1!$Q$2:$Q$41,Tabelle1!$B$2:$B$41,"D3_3D-DRUCK",Tabelle1!$AS$2:$AS$41,"Einschluss")/COUNTIFS(Tabelle1!$B$2:$B$41,"D3_3D-DRUCK",Tabelle1!$AS$2:$AS$41,"Einschluss")</x:f>
        <x:v>0.6666666666666666</x:v>
      </x:c>
      <x:c r="F16" s="158" t="n">
        <x:f>SUMIFS(Tabelle1!$Q$2:$Q$41,Tabelle1!$AS$2:$AS$41,"Einschluss")/COUNTIF(Tabelle1!$AS$2:$AS$41,"Einschluss")</x:f>
        <x:v>0.475</x:v>
      </x:c>
    </x:row>
    <x:row r="17">
      <x:c r="A17" s="153" t="str">
        <x:v>OV04</x:v>
      </x:c>
      <x:c r="B17" s="153" t="str">
        <x:v>Wegfolgen rekonstruieren</x:v>
      </x:c>
      <x:c r="C17" s="158" t="n">
        <x:f>SUMIFS(Tabelle1!$R$2:$R$41,Tabelle1!$B$2:$B$41,"D1_2D-LAGEPLAN",Tabelle1!$AS$2:$AS$41,"Einschluss")/COUNTIFS(Tabelle1!$B$2:$B$41,"D1_2D-LAGEPLAN",Tabelle1!$AS$2:$AS$41,"Einschluss")</x:f>
        <x:v>0.6666666666666666</x:v>
      </x:c>
      <x:c r="D17" s="158" t="n">
        <x:f>SUMIFS(Tabelle1!$R$2:$R$41,Tabelle1!$B$2:$B$41,"D2_3D-DIGITAL",Tabelle1!$AS$2:$AS$41,"Einschluss")/COUNTIFS(Tabelle1!$B$2:$B$41,"D2_3D-DIGITAL",Tabelle1!$AS$2:$AS$41,"Einschluss")</x:f>
        <x:v>0.625</x:v>
      </x:c>
      <x:c r="E17" s="158" t="n">
        <x:f>SUMIFS(Tabelle1!$R$2:$R$41,Tabelle1!$B$2:$B$41,"D3_3D-DRUCK",Tabelle1!$AS$2:$AS$41,"Einschluss")/COUNTIFS(Tabelle1!$B$2:$B$41,"D3_3D-DRUCK",Tabelle1!$AS$2:$AS$41,"Einschluss")</x:f>
        <x:v>0.5833333333333334</x:v>
      </x:c>
      <x:c r="F17" s="158" t="n">
        <x:f>SUMIFS(Tabelle1!$R$2:$R$41,Tabelle1!$AS$2:$AS$41,"Einschluss")/COUNTIF(Tabelle1!$AS$2:$AS$41,"Einschluss")</x:f>
        <x:v>0.625</x:v>
      </x:c>
    </x:row>
    <x:row r="18">
      <x:c r="A18" s="153" t="str">
        <x:v>OV05</x:v>
      </x:c>
      <x:c r="B18" s="153" t="str">
        <x:v>Richtungen bestimmen</x:v>
      </x:c>
      <x:c r="C18" s="158" t="n">
        <x:f>SUMIFS(Tabelle1!$S$2:$S$41,Tabelle1!$B$2:$B$41,"D1_2D-LAGEPLAN",Tabelle1!$AS$2:$AS$41,"Einschluss")/COUNTIFS(Tabelle1!$B$2:$B$41,"D1_2D-LAGEPLAN",Tabelle1!$AS$2:$AS$41,"Einschluss")</x:f>
        <x:v>0.4166666666666667</x:v>
      </x:c>
      <x:c r="D18" s="158" t="n">
        <x:f>SUMIFS(Tabelle1!$S$2:$S$41,Tabelle1!$B$2:$B$41,"D2_3D-DIGITAL",Tabelle1!$AS$2:$AS$41,"Einschluss")/COUNTIFS(Tabelle1!$B$2:$B$41,"D2_3D-DIGITAL",Tabelle1!$AS$2:$AS$41,"Einschluss")</x:f>
        <x:v>0.75</x:v>
      </x:c>
      <x:c r="E18" s="158" t="n">
        <x:f>SUMIFS(Tabelle1!$S$2:$S$41,Tabelle1!$B$2:$B$41,"D3_3D-DRUCK",Tabelle1!$AS$2:$AS$41,"Einschluss")/COUNTIFS(Tabelle1!$B$2:$B$41,"D3_3D-DRUCK",Tabelle1!$AS$2:$AS$41,"Einschluss")</x:f>
        <x:v>0.6666666666666666</x:v>
      </x:c>
      <x:c r="F18" s="158" t="n">
        <x:f>SUMIFS(Tabelle1!$S$2:$S$41,Tabelle1!$AS$2:$AS$41,"Einschluss")/COUNTIF(Tabelle1!$AS$2:$AS$41,"Einschluss")</x:f>
        <x:v>0.625</x:v>
      </x:c>
    </x:row>
    <x:row r="19">
      <x:c r="A19" s="153" t="str">
        <x:v>OV06</x:v>
      </x:c>
      <x:c r="B19" s="153" t="str">
        <x:v>Standorte ableiten</x:v>
      </x:c>
      <x:c r="C19" s="158" t="n">
        <x:f>SUMIFS(Tabelle1!$T$2:$T$41,Tabelle1!$B$2:$B$41,"D1_2D-LAGEPLAN",Tabelle1!$AS$2:$AS$41,"Einschluss")/COUNTIFS(Tabelle1!$B$2:$B$41,"D1_2D-LAGEPLAN",Tabelle1!$AS$2:$AS$41,"Einschluss")</x:f>
        <x:v>0.75</x:v>
      </x:c>
      <x:c r="D19" s="158" t="n">
        <x:f>SUMIFS(Tabelle1!$T$2:$T$41,Tabelle1!$B$2:$B$41,"D2_3D-DIGITAL",Tabelle1!$AS$2:$AS$41,"Einschluss")/COUNTIFS(Tabelle1!$B$2:$B$41,"D2_3D-DIGITAL",Tabelle1!$AS$2:$AS$41,"Einschluss")</x:f>
        <x:v>0.6875</x:v>
      </x:c>
      <x:c r="E19" s="158" t="n">
        <x:f>SUMIFS(Tabelle1!$T$2:$T$41,Tabelle1!$B$2:$B$41,"D3_3D-DRUCK",Tabelle1!$AS$2:$AS$41,"Einschluss")/COUNTIFS(Tabelle1!$B$2:$B$41,"D3_3D-DRUCK",Tabelle1!$AS$2:$AS$41,"Einschluss")</x:f>
        <x:v>0.9166666666666666</x:v>
      </x:c>
      <x:c r="F19" s="158" t="n">
        <x:f>SUMIFS(Tabelle1!$T$2:$T$41,Tabelle1!$AS$2:$AS$41,"Einschluss")/COUNTIF(Tabelle1!$AS$2:$AS$41,"Einschluss")</x:f>
        <x:v>0.775</x:v>
      </x:c>
    </x:row>
    <x:row r="20">
      <x:c r="A20" s="153" t="str">
        <x:v>OV07</x:v>
      </x:c>
      <x:c r="B20" s="153" t="str">
        <x:v>Distanzen abschätzen</x:v>
      </x:c>
      <x:c r="C20" s="158" t="n">
        <x:f>SUMIFS(Tabelle1!$U$2:$U$41,Tabelle1!$B$2:$B$41,"D1_2D-LAGEPLAN",Tabelle1!$AS$2:$AS$41,"Einschluss")/COUNTIFS(Tabelle1!$B$2:$B$41,"D1_2D-LAGEPLAN",Tabelle1!$AS$2:$AS$41,"Einschluss")</x:f>
        <x:v>0.3333333333333333</x:v>
      </x:c>
      <x:c r="D20" s="158" t="n">
        <x:f>SUMIFS(Tabelle1!$U$2:$U$41,Tabelle1!$B$2:$B$41,"D2_3D-DIGITAL",Tabelle1!$AS$2:$AS$41,"Einschluss")/COUNTIFS(Tabelle1!$B$2:$B$41,"D2_3D-DIGITAL",Tabelle1!$AS$2:$AS$41,"Einschluss")</x:f>
        <x:v>0.25</x:v>
      </x:c>
      <x:c r="E20" s="158" t="n">
        <x:f>SUMIFS(Tabelle1!$U$2:$U$41,Tabelle1!$B$2:$B$41,"D3_3D-DRUCK",Tabelle1!$AS$2:$AS$41,"Einschluss")/COUNTIFS(Tabelle1!$B$2:$B$41,"D3_3D-DRUCK",Tabelle1!$AS$2:$AS$41,"Einschluss")</x:f>
        <x:v>0.3333333333333333</x:v>
      </x:c>
      <x:c r="F20" s="158" t="n">
        <x:f>SUMIFS(Tabelle1!$U$2:$U$41,Tabelle1!$AS$2:$AS$41,"Einschluss")/COUNTIF(Tabelle1!$AS$2:$AS$41,"Einschluss")</x:f>
        <x:v>0.3</x:v>
      </x:c>
    </x:row>
    <x:row r="21">
      <x:c r="A21" s="153" t="str">
        <x:v>OV08</x:v>
      </x:c>
      <x:c r="B21" s="153" t="str">
        <x:v>Relative Geländehöhen bestimmen</x:v>
      </x:c>
      <x:c r="C21" s="158" t="n">
        <x:f>SUMIFS(Tabelle1!$V$2:$V$41,Tabelle1!$B$2:$B$41,"D1_2D-LAGEPLAN",Tabelle1!$AS$2:$AS$41,"Einschluss")/COUNTIFS(Tabelle1!$B$2:$B$41,"D1_2D-LAGEPLAN",Tabelle1!$AS$2:$AS$41,"Einschluss")</x:f>
        <x:v>0.4166666666666667</x:v>
      </x:c>
      <x:c r="D21" s="158" t="n">
        <x:f>SUMIFS(Tabelle1!$V$2:$V$41,Tabelle1!$B$2:$B$41,"D2_3D-DIGITAL",Tabelle1!$AS$2:$AS$41,"Einschluss")/COUNTIFS(Tabelle1!$B$2:$B$41,"D2_3D-DIGITAL",Tabelle1!$AS$2:$AS$41,"Einschluss")</x:f>
        <x:v>0.1875</x:v>
      </x:c>
      <x:c r="E21" s="158" t="n">
        <x:f>SUMIFS(Tabelle1!$V$2:$V$41,Tabelle1!$B$2:$B$41,"D3_3D-DRUCK",Tabelle1!$AS$2:$AS$41,"Einschluss")/COUNTIFS(Tabelle1!$B$2:$B$41,"D3_3D-DRUCK",Tabelle1!$AS$2:$AS$41,"Einschluss")</x:f>
        <x:v>0.9166666666666666</x:v>
      </x:c>
      <x:c r="F21" s="158" t="n">
        <x:f>SUMIFS(Tabelle1!$V$2:$V$41,Tabelle1!$AS$2:$AS$41,"Einschluss")/COUNTIF(Tabelle1!$AS$2:$AS$41,"Einschluss")</x:f>
        <x:v>0.475</x:v>
      </x:c>
    </x:row>
    <x:row r="22">
      <x:c r="A22" s="152" t="str">
        <x:v>Hinweis: Die Einzelitems werden deskriptiv ausgewertet. Der vorab definierte personenbezogene objektive Gesamtscore OV_GESAMT sowie die Dimensionswerte bleiben die zentralen objektiven Auswertungsgrößen; separate Signifikanztests je Item würden bei nur 40 Fällen zusätzliche Multiplikitätsprobleme erzeugen.</x:v>
      </x:c>
      <x:c r="B22" s="152"/>
      <x:c r="C22" s="152"/>
      <x:c r="D22" s="152"/>
      <x:c r="E22" s="152"/>
      <x:c r="F22" s="152"/>
    </x:row>
    <x:row r="23">
      <x:c r="A23" s="153"/>
      <x:c r="B23" s="153"/>
      <x:c r="C23" s="153"/>
      <x:c r="D23" s="153"/>
      <x:c r="E23" s="153"/>
      <x:c r="F23" s="153"/>
    </x:row>
    <x:row r="24">
      <x:c r="A24" s="155" t="str">
        <x:v>3. Subjektive Einzelitems – Mittelwerte (Likert 1–5)</x:v>
      </x:c>
      <x:c r="B24" s="155"/>
      <x:c r="C24" s="155"/>
      <x:c r="D24" s="155"/>
      <x:c r="E24" s="155"/>
      <x:c r="F24" s="155"/>
    </x:row>
    <x:row r="25">
      <x:c r="A25" s="156" t="str">
        <x:v>Item</x:v>
      </x:c>
      <x:c r="B25" s="156" t="str">
        <x:v>Kurzbezeichnung</x:v>
      </x:c>
      <x:c r="C25" s="156" t="str">
        <x:v>Lageplan</x:v>
      </x:c>
      <x:c r="D25" s="156" t="str">
        <x:v>Digitales 3D-Modell</x:v>
      </x:c>
      <x:c r="E25" s="156" t="str">
        <x:v>Physisches 3D-Modell</x:v>
      </x:c>
      <x:c r="F25" s="156" t="str">
        <x:v>Gesamtstichprobe</x:v>
      </x:c>
    </x:row>
    <x:row r="26">
      <x:c r="A26" s="153" t="str">
        <x:v>SV01</x:v>
      </x:c>
      <x:c r="B26" s="153" t="str">
        <x:v>Objekte/Bereiche identifizieren</x:v>
      </x:c>
      <x:c r="C26" s="157" t="n">
        <x:f>SUMIFS(Tabelle1!$AB$2:$AB$41,Tabelle1!$B$2:$B$41,"D1_2D-LAGEPLAN",Tabelle1!$AS$2:$AS$41,"Einschluss")/COUNTIFS(Tabelle1!$B$2:$B$41,"D1_2D-LAGEPLAN",Tabelle1!$AS$2:$AS$41,"Einschluss")</x:f>
        <x:v>3.9166666666666665</x:v>
      </x:c>
      <x:c r="D26" s="157" t="n">
        <x:f>SUMIFS(Tabelle1!$AB$2:$AB$41,Tabelle1!$B$2:$B$41,"D2_3D-DIGITAL",Tabelle1!$AS$2:$AS$41,"Einschluss")/COUNTIFS(Tabelle1!$B$2:$B$41,"D2_3D-DIGITAL",Tabelle1!$AS$2:$AS$41,"Einschluss")</x:f>
        <x:v>3.9375</x:v>
      </x:c>
      <x:c r="E26" s="157" t="n">
        <x:f>SUMIFS(Tabelle1!$AB$2:$AB$41,Tabelle1!$B$2:$B$41,"D3_3D-DRUCK",Tabelle1!$AS$2:$AS$41,"Einschluss")/COUNTIFS(Tabelle1!$B$2:$B$41,"D3_3D-DRUCK",Tabelle1!$AS$2:$AS$41,"Einschluss")</x:f>
        <x:v>4.416666666666667</x:v>
      </x:c>
      <x:c r="F26" s="157" t="n">
        <x:f>SUMIFS(Tabelle1!$AB$2:$AB$41,Tabelle1!$AS$2:$AS$41,"Einschluss")/COUNTIF(Tabelle1!$AS$2:$AS$41,"Einschluss")</x:f>
        <x:v>4.075</x:v>
      </x:c>
    </x:row>
    <x:row r="27">
      <x:c r="A27" s="153" t="str">
        <x:v>SV02</x:v>
      </x:c>
      <x:c r="B27" s="153" t="str">
        <x:v>Räumliche Grundstruktur erfassen</x:v>
      </x:c>
      <x:c r="C27" s="157" t="n">
        <x:f>SUMIFS(Tabelle1!$AC$2:$AC$41,Tabelle1!$B$2:$B$41,"D1_2D-LAGEPLAN",Tabelle1!$AS$2:$AS$41,"Einschluss")/COUNTIFS(Tabelle1!$B$2:$B$41,"D1_2D-LAGEPLAN",Tabelle1!$AS$2:$AS$41,"Einschluss")</x:f>
        <x:v>3.3333333333333335</x:v>
      </x:c>
      <x:c r="D27" s="157" t="n">
        <x:f>SUMIFS(Tabelle1!$AC$2:$AC$41,Tabelle1!$B$2:$B$41,"D2_3D-DIGITAL",Tabelle1!$AS$2:$AS$41,"Einschluss")/COUNTIFS(Tabelle1!$B$2:$B$41,"D2_3D-DIGITAL",Tabelle1!$AS$2:$AS$41,"Einschluss")</x:f>
        <x:v>3.375</x:v>
      </x:c>
      <x:c r="E27" s="157" t="n">
        <x:f>SUMIFS(Tabelle1!$AC$2:$AC$41,Tabelle1!$B$2:$B$41,"D3_3D-DRUCK",Tabelle1!$AS$2:$AS$41,"Einschluss")/COUNTIFS(Tabelle1!$B$2:$B$41,"D3_3D-DRUCK",Tabelle1!$AS$2:$AS$41,"Einschluss")</x:f>
        <x:v>4.166666666666667</x:v>
      </x:c>
      <x:c r="F27" s="157" t="n">
        <x:f>SUMIFS(Tabelle1!$AC$2:$AC$41,Tabelle1!$AS$2:$AS$41,"Einschluss")/COUNTIF(Tabelle1!$AS$2:$AS$41,"Einschluss")</x:f>
        <x:v>3.6</x:v>
      </x:c>
    </x:row>
    <x:row r="28">
      <x:c r="A28" s="153" t="str">
        <x:v>SV03</x:v>
      </x:c>
      <x:c r="B28" s="153" t="str">
        <x:v>Lage von Elementen einordnen</x:v>
      </x:c>
      <x:c r="C28" s="157" t="n">
        <x:f>SUMIFS(Tabelle1!$AD$2:$AD$41,Tabelle1!$B$2:$B$41,"D1_2D-LAGEPLAN",Tabelle1!$AS$2:$AS$41,"Einschluss")/COUNTIFS(Tabelle1!$B$2:$B$41,"D1_2D-LAGEPLAN",Tabelle1!$AS$2:$AS$41,"Einschluss")</x:f>
        <x:v>3.9166666666666665</x:v>
      </x:c>
      <x:c r="D28" s="157" t="n">
        <x:f>SUMIFS(Tabelle1!$AD$2:$AD$41,Tabelle1!$B$2:$B$41,"D2_3D-DIGITAL",Tabelle1!$AS$2:$AS$41,"Einschluss")/COUNTIFS(Tabelle1!$B$2:$B$41,"D2_3D-DIGITAL",Tabelle1!$AS$2:$AS$41,"Einschluss")</x:f>
        <x:v>4.125</x:v>
      </x:c>
      <x:c r="E28" s="157" t="n">
        <x:f>SUMIFS(Tabelle1!$AD$2:$AD$41,Tabelle1!$B$2:$B$41,"D3_3D-DRUCK",Tabelle1!$AS$2:$AS$41,"Einschluss")/COUNTIFS(Tabelle1!$B$2:$B$41,"D3_3D-DRUCK",Tabelle1!$AS$2:$AS$41,"Einschluss")</x:f>
        <x:v>4.166666666666667</x:v>
      </x:c>
      <x:c r="F28" s="157" t="n">
        <x:f>SUMIFS(Tabelle1!$AD$2:$AD$41,Tabelle1!$AS$2:$AS$41,"Einschluss")/COUNTIF(Tabelle1!$AS$2:$AS$41,"Einschluss")</x:f>
        <x:v>4.075</x:v>
      </x:c>
    </x:row>
    <x:row r="29">
      <x:c r="A29" s="153" t="str">
        <x:v>SV04</x:v>
      </x:c>
      <x:c r="B29" s="153" t="str">
        <x:v>Reihenfolge entlang einer Route</x:v>
      </x:c>
      <x:c r="C29" s="157" t="n">
        <x:f>SUMIFS(Tabelle1!$AE$2:$AE$41,Tabelle1!$B$2:$B$41,"D1_2D-LAGEPLAN",Tabelle1!$AS$2:$AS$41,"Einschluss")/COUNTIFS(Tabelle1!$B$2:$B$41,"D1_2D-LAGEPLAN",Tabelle1!$AS$2:$AS$41,"Einschluss")</x:f>
        <x:v>3.25</x:v>
      </x:c>
      <x:c r="D29" s="157" t="n">
        <x:f>SUMIFS(Tabelle1!$AE$2:$AE$41,Tabelle1!$B$2:$B$41,"D2_3D-DIGITAL",Tabelle1!$AS$2:$AS$41,"Einschluss")/COUNTIFS(Tabelle1!$B$2:$B$41,"D2_3D-DIGITAL",Tabelle1!$AS$2:$AS$41,"Einschluss")</x:f>
        <x:v>3.8125</x:v>
      </x:c>
      <x:c r="E29" s="157" t="n">
        <x:f>SUMIFS(Tabelle1!$AE$2:$AE$41,Tabelle1!$B$2:$B$41,"D3_3D-DRUCK",Tabelle1!$AS$2:$AS$41,"Einschluss")/COUNTIFS(Tabelle1!$B$2:$B$41,"D3_3D-DRUCK",Tabelle1!$AS$2:$AS$41,"Einschluss")</x:f>
        <x:v>3.8333333333333335</x:v>
      </x:c>
      <x:c r="F29" s="157" t="n">
        <x:f>SUMIFS(Tabelle1!$AE$2:$AE$41,Tabelle1!$AS$2:$AS$41,"Einschluss")/COUNTIF(Tabelle1!$AS$2:$AS$41,"Einschluss")</x:f>
        <x:v>3.65</x:v>
      </x:c>
    </x:row>
    <x:row r="30">
      <x:c r="A30" s="153" t="str">
        <x:v>SV05</x:v>
      </x:c>
      <x:c r="B30" s="153" t="str">
        <x:v>Himmelsrichtungen bestimmen</x:v>
      </x:c>
      <x:c r="C30" s="157" t="n">
        <x:f>SUMIFS(Tabelle1!$AF$2:$AF$41,Tabelle1!$B$2:$B$41,"D1_2D-LAGEPLAN",Tabelle1!$AS$2:$AS$41,"Einschluss")/COUNTIFS(Tabelle1!$B$2:$B$41,"D1_2D-LAGEPLAN",Tabelle1!$AS$2:$AS$41,"Einschluss")</x:f>
        <x:v>4.583333333333333</x:v>
      </x:c>
      <x:c r="D30" s="157" t="n">
        <x:f>SUMIFS(Tabelle1!$AF$2:$AF$41,Tabelle1!$B$2:$B$41,"D2_3D-DIGITAL",Tabelle1!$AS$2:$AS$41,"Einschluss")/COUNTIFS(Tabelle1!$B$2:$B$41,"D2_3D-DIGITAL",Tabelle1!$AS$2:$AS$41,"Einschluss")</x:f>
        <x:v>3.75</x:v>
      </x:c>
      <x:c r="E30" s="157" t="n">
        <x:f>SUMIFS(Tabelle1!$AF$2:$AF$41,Tabelle1!$B$2:$B$41,"D3_3D-DRUCK",Tabelle1!$AS$2:$AS$41,"Einschluss")/COUNTIFS(Tabelle1!$B$2:$B$41,"D3_3D-DRUCK",Tabelle1!$AS$2:$AS$41,"Einschluss")</x:f>
        <x:v>4.416666666666667</x:v>
      </x:c>
      <x:c r="F30" s="157" t="n">
        <x:f>SUMIFS(Tabelle1!$AF$2:$AF$41,Tabelle1!$AS$2:$AS$41,"Einschluss")/COUNTIF(Tabelle1!$AS$2:$AS$41,"Einschluss")</x:f>
        <x:v>4.2</x:v>
      </x:c>
    </x:row>
    <x:row r="31">
      <x:c r="A31" s="153" t="str">
        <x:v>SV06</x:v>
      </x:c>
      <x:c r="B31" s="153" t="str">
        <x:v>Standort aus Sichtbeziehungen bestimmen</x:v>
      </x:c>
      <x:c r="C31" s="157" t="n">
        <x:f>SUMIFS(Tabelle1!$AG$2:$AG$41,Tabelle1!$B$2:$B$41,"D1_2D-LAGEPLAN",Tabelle1!$AS$2:$AS$41,"Einschluss")/COUNTIFS(Tabelle1!$B$2:$B$41,"D1_2D-LAGEPLAN",Tabelle1!$AS$2:$AS$41,"Einschluss")</x:f>
        <x:v>4</x:v>
      </x:c>
      <x:c r="D31" s="157" t="n">
        <x:f>SUMIFS(Tabelle1!$AG$2:$AG$41,Tabelle1!$B$2:$B$41,"D2_3D-DIGITAL",Tabelle1!$AS$2:$AS$41,"Einschluss")/COUNTIFS(Tabelle1!$B$2:$B$41,"D2_3D-DIGITAL",Tabelle1!$AS$2:$AS$41,"Einschluss")</x:f>
        <x:v>3.75</x:v>
      </x:c>
      <x:c r="E31" s="157" t="n">
        <x:f>SUMIFS(Tabelle1!$AG$2:$AG$41,Tabelle1!$B$2:$B$41,"D3_3D-DRUCK",Tabelle1!$AS$2:$AS$41,"Einschluss")/COUNTIFS(Tabelle1!$B$2:$B$41,"D3_3D-DRUCK",Tabelle1!$AS$2:$AS$41,"Einschluss")</x:f>
        <x:v>4.083333333333333</x:v>
      </x:c>
      <x:c r="F31" s="157" t="n">
        <x:f>SUMIFS(Tabelle1!$AG$2:$AG$41,Tabelle1!$AS$2:$AS$41,"Einschluss")/COUNTIF(Tabelle1!$AS$2:$AS$41,"Einschluss")</x:f>
        <x:v>3.925</x:v>
      </x:c>
    </x:row>
    <x:row r="32">
      <x:c r="A32" s="153" t="str">
        <x:v>SV07</x:v>
      </x:c>
      <x:c r="B32" s="153" t="str">
        <x:v>Entfernungen einschätzen</x:v>
      </x:c>
      <x:c r="C32" s="157" t="n">
        <x:f>SUMIFS(Tabelle1!$AH$2:$AH$41,Tabelle1!$B$2:$B$41,"D1_2D-LAGEPLAN",Tabelle1!$AS$2:$AS$41,"Einschluss")/COUNTIFS(Tabelle1!$B$2:$B$41,"D1_2D-LAGEPLAN",Tabelle1!$AS$2:$AS$41,"Einschluss")</x:f>
        <x:v>2.3333333333333335</x:v>
      </x:c>
      <x:c r="D32" s="157" t="n">
        <x:f>SUMIFS(Tabelle1!$AH$2:$AH$41,Tabelle1!$B$2:$B$41,"D2_3D-DIGITAL",Tabelle1!$AS$2:$AS$41,"Einschluss")/COUNTIFS(Tabelle1!$B$2:$B$41,"D2_3D-DIGITAL",Tabelle1!$AS$2:$AS$41,"Einschluss")</x:f>
        <x:v>2.0625</x:v>
      </x:c>
      <x:c r="E32" s="157" t="n">
        <x:f>SUMIFS(Tabelle1!$AH$2:$AH$41,Tabelle1!$B$2:$B$41,"D3_3D-DRUCK",Tabelle1!$AS$2:$AS$41,"Einschluss")/COUNTIFS(Tabelle1!$B$2:$B$41,"D3_3D-DRUCK",Tabelle1!$AS$2:$AS$41,"Einschluss")</x:f>
        <x:v>2.5</x:v>
      </x:c>
      <x:c r="F32" s="157" t="n">
        <x:f>SUMIFS(Tabelle1!$AH$2:$AH$41,Tabelle1!$AS$2:$AS$41,"Einschluss")/COUNTIF(Tabelle1!$AS$2:$AS$41,"Einschluss")</x:f>
        <x:v>2.275</x:v>
      </x:c>
    </x:row>
    <x:row r="33">
      <x:c r="A33" s="153" t="str">
        <x:v>SV08</x:v>
      </x:c>
      <x:c r="B33" s="153" t="str">
        <x:v>Höhenlagen einschätzen</x:v>
      </x:c>
      <x:c r="C33" s="157" t="n">
        <x:f>SUMIFS(Tabelle1!$AI$2:$AI$41,Tabelle1!$B$2:$B$41,"D1_2D-LAGEPLAN",Tabelle1!$AS$2:$AS$41,"Einschluss")/COUNTIFS(Tabelle1!$B$2:$B$41,"D1_2D-LAGEPLAN",Tabelle1!$AS$2:$AS$41,"Einschluss")</x:f>
        <x:v>3</x:v>
      </x:c>
      <x:c r="D33" s="157" t="n">
        <x:f>SUMIFS(Tabelle1!$AI$2:$AI$41,Tabelle1!$B$2:$B$41,"D2_3D-DIGITAL",Tabelle1!$AS$2:$AS$41,"Einschluss")/COUNTIFS(Tabelle1!$B$2:$B$41,"D2_3D-DIGITAL",Tabelle1!$AS$2:$AS$41,"Einschluss")</x:f>
        <x:v>2.4375</x:v>
      </x:c>
      <x:c r="E33" s="157" t="n">
        <x:f>SUMIFS(Tabelle1!$AI$2:$AI$41,Tabelle1!$B$2:$B$41,"D3_3D-DRUCK",Tabelle1!$AS$2:$AS$41,"Einschluss")/COUNTIFS(Tabelle1!$B$2:$B$41,"D3_3D-DRUCK",Tabelle1!$AS$2:$AS$41,"Einschluss")</x:f>
        <x:v>3.4166666666666665</x:v>
      </x:c>
      <x:c r="F33" s="157" t="n">
        <x:f>SUMIFS(Tabelle1!$AI$2:$AI$41,Tabelle1!$AS$2:$AS$41,"Einschluss")/COUNTIF(Tabelle1!$AS$2:$AS$41,"Einschluss")</x:f>
        <x:v>2.9</x:v>
      </x:c>
    </x:row>
    <x:row r="34">
      <x:c r="A34" s="153" t="str">
        <x:v>SV_GLOBAL</x:v>
      </x:c>
      <x:c r="B34" s="153" t="str">
        <x:v>Räumliche Situation insgesamt nachvollziehen</x:v>
      </x:c>
      <x:c r="C34" s="157" t="n">
        <x:f>SUMIFS(Tabelle1!$AJ$2:$AJ$41,Tabelle1!$B$2:$B$41,"D1_2D-LAGEPLAN",Tabelle1!$AS$2:$AS$41,"Einschluss")/COUNTIFS(Tabelle1!$B$2:$B$41,"D1_2D-LAGEPLAN",Tabelle1!$AS$2:$AS$41,"Einschluss")</x:f>
        <x:v>3.3333333333333335</x:v>
      </x:c>
      <x:c r="D34" s="157" t="n">
        <x:f>SUMIFS(Tabelle1!$AJ$2:$AJ$41,Tabelle1!$B$2:$B$41,"D2_3D-DIGITAL",Tabelle1!$AS$2:$AS$41,"Einschluss")/COUNTIFS(Tabelle1!$B$2:$B$41,"D2_3D-DIGITAL",Tabelle1!$AS$2:$AS$41,"Einschluss")</x:f>
        <x:v>3.6875</x:v>
      </x:c>
      <x:c r="E34" s="157" t="n">
        <x:f>SUMIFS(Tabelle1!$AJ$2:$AJ$41,Tabelle1!$B$2:$B$41,"D3_3D-DRUCK",Tabelle1!$AS$2:$AS$41,"Einschluss")/COUNTIFS(Tabelle1!$B$2:$B$41,"D3_3D-DRUCK",Tabelle1!$AS$2:$AS$41,"Einschluss")</x:f>
        <x:v>3.4166666666666665</x:v>
      </x:c>
      <x:c r="F34" s="157" t="n">
        <x:f>SUMIFS(Tabelle1!$AJ$2:$AJ$41,Tabelle1!$AS$2:$AS$41,"Einschluss")/COUNTIF(Tabelle1!$AS$2:$AS$41,"Einschluss")</x:f>
        <x:v>3.5</x:v>
      </x:c>
    </x:row>
    <x:row r="35">
      <x:c r="A35" s="153"/>
      <x:c r="B35" s="153"/>
      <x:c r="C35" s="153"/>
      <x:c r="D35" s="153"/>
      <x:c r="E35" s="153"/>
      <x:c r="F35" s="153"/>
    </x:row>
    <x:row r="36">
      <x:c r="A36" s="155" t="str">
        <x:v>4. Kurze Einordnung der Einzelitems</x:v>
      </x:c>
      <x:c r="B36" s="155"/>
      <x:c r="C36" s="155"/>
      <x:c r="D36" s="155"/>
      <x:c r="E36" s="155"/>
      <x:c r="F36" s="155"/>
    </x:row>
    <x:row r="37">
      <x:c r="A37" s="156" t="str">
        <x:v>Aspekt</x:v>
      </x:c>
      <x:c r="B37" s="156" t="str">
        <x:v>Item / Thema</x:v>
      </x:c>
      <x:c r="C37" s="156" t="str">
        <x:v>Einordnung</x:v>
      </x:c>
      <x:c r="D37" s="156"/>
      <x:c r="E37" s="156"/>
      <x:c r="F37" s="156"/>
    </x:row>
    <x:row r="38" ht="42" customHeight="1">
      <x:c r="A38" s="153" t="str">
        <x:v>Objektiv – besonders leicht</x:v>
      </x:c>
      <x:c r="B38" s="153" t="str">
        <x:v>OV01 (Elemente identifizieren)</x:v>
      </x:c>
      <x:c r="C38" s="153" t="str">
        <x:v>97,5 % korrekt in der Gesamtstichprobe; nahezu Deckeneffekt.</x:v>
      </x:c>
      <x:c r="D38" s="153"/>
      <x:c r="E38" s="153"/>
      <x:c r="F38" s="153"/>
    </x:row>
    <x:row r="39" ht="42" customHeight="1">
      <x:c r="A39" s="153" t="str">
        <x:v>Objektiv – besonders schwierig</x:v>
      </x:c>
      <x:c r="B39" s="153" t="str">
        <x:v>OV07 (Distanzen abschätzen)</x:v>
      </x:c>
      <x:c r="C39" s="153" t="str">
        <x:v>30,0 % korrekt in der Gesamtstichprobe; in allen drei Gruppen die schwächste bzw. eine der schwächsten Aufgaben.</x:v>
      </x:c>
      <x:c r="D39" s="153"/>
      <x:c r="E39" s="153"/>
      <x:c r="F39" s="153"/>
    </x:row>
    <x:row r="40" ht="42" customHeight="1">
      <x:c r="A40" s="153" t="str">
        <x:v>Auffälligkeit Lageplan</x:v>
      </x:c>
      <x:c r="B40" s="153" t="str">
        <x:v>OV03 (Positionen bestimmen)</x:v>
      </x:c>
      <x:c r="C40" s="153" t="str">
        <x:v>Nur 8,3 % korrekt; deutlich niedriger als digital (62,5 %) und physisch (66,7 %).</x:v>
      </x:c>
      <x:c r="D40" s="153"/>
      <x:c r="E40" s="153"/>
      <x:c r="F40" s="153"/>
    </x:row>
    <x:row r="41" ht="42" customHeight="1">
      <x:c r="A41" s="153" t="str">
        <x:v>Auffälligkeit digitales 3D-Modell</x:v>
      </x:c>
      <x:c r="B41" s="153" t="str">
        <x:v>OV08 (relative Geländehöhen)</x:v>
      </x:c>
      <x:c r="C41" s="153" t="str">
        <x:v>Nur 18,8 % korrekt; physisches Modell erreicht hier 91,7 %.</x:v>
      </x:c>
      <x:c r="D41" s="153"/>
      <x:c r="E41" s="153"/>
      <x:c r="F41" s="153"/>
    </x:row>
    <x:row r="42" ht="42" customHeight="1">
      <x:c r="A42" s="145" t="str">
        <x:v>Subjektiv – größtes Problem</x:v>
      </x:c>
      <x:c r="B42" s="145" t="str">
        <x:v>SV07 (Entfernungen einschätzen)</x:v>
      </x:c>
      <x:c r="C42" s="145" t="str">
        <x:v>Niedrigster Mittelwert der Gesamtstichprobe (2,28/5); passt zu den offenen Angaben zum fehlenden Maßstab.</x:v>
      </x:c>
      <x:c r="D42" s="145"/>
      <x:c r="E42" s="145"/>
      <x:c r="F42" s="145"/>
    </x:row>
  </x:sheetData>
  <x:mergeCells>
    <x:mergeCell ref="A1:F1"/>
    <x:mergeCell ref="A3:F3"/>
    <x:mergeCell ref="A12:F12"/>
    <x:mergeCell ref="A22:F22"/>
    <x:mergeCell ref="A24:F24"/>
    <x:mergeCell ref="A36:F36"/>
    <x:mergeCell ref="C38:F38"/>
    <x:mergeCell ref="C39:F39"/>
    <x:mergeCell ref="C40:F40"/>
    <x:mergeCell ref="C41:F41"/>
    <x:mergeCell ref="C42:F42"/>
  </x:mergeCells>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22" hidden="0" customWidth="1"/>
    <x:col min="3" max="3" width="55" hidden="0" customWidth="1"/>
    <x:col min="4" max="4" width="18" hidden="0" customWidth="1"/>
    <x:col min="5" max="5" width="70" hidden="0" customWidth="1"/>
    <x:col min="6" max="6" width="20" hidden="0" customWidth="1"/>
    <x:col min="7" max="7" width="22" hidden="0" customWidth="1"/>
    <x:col min="8" max="8" width="8" hidden="0" customWidth="1"/>
    <x:col min="9" max="9" width="8" hidden="0" customWidth="1"/>
    <x:col min="10" max="10" width="8" hidden="0" customWidth="1"/>
    <x:col min="11" max="11" width="8" hidden="0" customWidth="1"/>
    <x:col min="12" max="12" width="8" hidden="0" customWidth="1"/>
    <x:col min="13" max="13" width="8" hidden="0" customWidth="1"/>
    <x:col min="14" max="14" width="8" hidden="0" customWidth="1"/>
    <x:col min="15" max="15" width="8" hidden="0" customWidth="1"/>
    <x:col min="16" max="16" width="8" hidden="0" customWidth="1"/>
    <x:col min="17" max="17" width="8" hidden="0" customWidth="1"/>
    <x:col min="18" max="18" width="8" hidden="0" customWidth="1"/>
    <x:col min="19" max="19" width="8" hidden="0" customWidth="1"/>
    <x:col min="20" max="20" width="8" hidden="0" customWidth="1"/>
    <x:col min="21" max="21" width="8" hidden="0" customWidth="1"/>
    <x:col min="22" max="22" width="8" hidden="0" customWidth="1"/>
    <x:col min="23" max="23" width="8" hidden="0" customWidth="1"/>
    <x:col min="24" max="24" width="8" hidden="0" customWidth="1"/>
    <x:col min="25" max="25" width="8" hidden="0" customWidth="1"/>
    <x:col min="26" max="26" width="8" hidden="0" customWidth="1"/>
    <x:col min="27" max="27" width="8" hidden="0" customWidth="1"/>
    <x:col min="28" max="28" width="8" hidden="0" customWidth="1"/>
  </x:cols>
  <x:sheetData>
    <x:row r="1">
      <x:c r="A1" s="134" t="str">
        <x:v>Nachvollziehbare Kodierung der beiden offenen Fragen</x:v>
      </x:c>
      <x:c r="B1" s="134"/>
      <x:c r="C1" s="134"/>
      <x:c r="D1" s="134"/>
      <x:c r="E1" s="134"/>
      <x:c r="F1" s="134"/>
      <x:c r="G1" s="134"/>
      <x:c r="H1" s="163" t="str">
        <x:v>Kodiermatrix (1 = Kategorie trifft auf Antwort zu)</x:v>
      </x:c>
      <x:c r="I1" s="163"/>
      <x:c r="J1" s="163"/>
      <x:c r="K1" s="163"/>
      <x:c r="L1" s="163"/>
      <x:c r="M1" s="163"/>
      <x:c r="N1" s="163"/>
      <x:c r="O1" s="163"/>
      <x:c r="P1" s="163"/>
      <x:c r="Q1" s="163"/>
      <x:c r="R1" s="163"/>
      <x:c r="S1" s="163"/>
      <x:c r="T1" s="163"/>
      <x:c r="U1" s="163"/>
      <x:c r="V1" s="163"/>
      <x:c r="W1" s="163"/>
      <x:c r="X1" s="163"/>
      <x:c r="Y1" s="163"/>
      <x:c r="Z1" s="163"/>
      <x:c r="AA1" s="163"/>
      <x:c r="AB1" s="163"/>
    </x:row>
    <x:row r="3">
      <x:c r="A3" s="156" t="str">
        <x:v>ID</x:v>
      </x:c>
      <x:c r="B3" s="156" t="str">
        <x:v>Darstellungsform</x:v>
      </x:c>
      <x:c r="C3" s="156" t="str">
        <x:v>FEEDBACK_OFFEN (Original)</x:v>
      </x:c>
      <x:c r="D3" s="156" t="str">
        <x:v>Feedback-Codes</x:v>
      </x:c>
      <x:c r="E3" s="156" t="str">
        <x:v>SV_OFFEN (Original)</x:v>
      </x:c>
      <x:c r="F3" s="156" t="str">
        <x:v>Hilfreich-Codes</x:v>
      </x:c>
      <x:c r="G3" s="156" t="str">
        <x:v>Schwierigkeit-Codes</x:v>
      </x:c>
      <x:c r="H3" s="164" t="str">
        <x:v>H1</x:v>
      </x:c>
      <x:c r="I3" s="164" t="str">
        <x:v>H2</x:v>
      </x:c>
      <x:c r="J3" s="164" t="str">
        <x:v>H3</x:v>
      </x:c>
      <x:c r="K3" s="164" t="str">
        <x:v>H4</x:v>
      </x:c>
      <x:c r="L3" s="164" t="str">
        <x:v>H5</x:v>
      </x:c>
      <x:c r="M3" s="164" t="str">
        <x:v>H6</x:v>
      </x:c>
      <x:c r="N3" s="164" t="str">
        <x:v>H7</x:v>
      </x:c>
      <x:c r="O3" s="164" t="str">
        <x:v>S1</x:v>
      </x:c>
      <x:c r="P3" s="164" t="str">
        <x:v>S2</x:v>
      </x:c>
      <x:c r="Q3" s="164" t="str">
        <x:v>S3</x:v>
      </x:c>
      <x:c r="R3" s="164" t="str">
        <x:v>S4</x:v>
      </x:c>
      <x:c r="S3" s="164" t="str">
        <x:v>S5</x:v>
      </x:c>
      <x:c r="T3" s="164" t="str">
        <x:v>S6</x:v>
      </x:c>
      <x:c r="U3" s="164" t="str">
        <x:v>F0</x:v>
      </x:c>
      <x:c r="V3" s="164" t="str">
        <x:v>F1</x:v>
      </x:c>
      <x:c r="W3" s="164" t="str">
        <x:v>F2</x:v>
      </x:c>
      <x:c r="X3" s="164" t="str">
        <x:v>F3</x:v>
      </x:c>
      <x:c r="Y3" s="164" t="str">
        <x:v>F4</x:v>
      </x:c>
      <x:c r="Z3" s="164" t="str">
        <x:v>F5</x:v>
      </x:c>
      <x:c r="AA3" s="164" t="str">
        <x:v>F6</x:v>
      </x:c>
      <x:c r="AB3" s="164" t="str">
        <x:v>FB_SUB</x:v>
      </x:c>
    </x:row>
    <x:row r="4">
      <x:c r="A4" s="153" t="n">
        <x:v>207</x:v>
      </x:c>
      <x:c r="B4" s="153" t="str">
        <x:v>Digitales 3D-Modell</x:v>
      </x:c>
      <x:c r="C4" s="153" t="str">
        <x:v>Für eine Person ohne fachlichen Hintergrund war das verstehen der Darstellung nicht so einfach. Als haptiches modell würde es vielleicht einfacher sein</x:v>
      </x:c>
      <x:c r="D4" s="153" t="str">
        <x:v>F5</x:v>
      </x:c>
      <x:c r="E4" s="153"/>
      <x:c r="F4" s="153"/>
      <x:c r="G4" s="153"/>
      <x:c r="H4" s="165" t="n">
        <x:v>0</x:v>
      </x:c>
      <x:c r="I4" s="165" t="n">
        <x:v>0</x:v>
      </x:c>
      <x:c r="J4" s="165" t="n">
        <x:v>0</x:v>
      </x:c>
      <x:c r="K4" s="165" t="n">
        <x:v>0</x:v>
      </x:c>
      <x:c r="L4" s="165" t="n">
        <x:v>0</x:v>
      </x:c>
      <x:c r="M4" s="165" t="n">
        <x:v>0</x:v>
      </x:c>
      <x:c r="N4" s="165" t="n">
        <x:v>0</x:v>
      </x:c>
      <x:c r="O4" s="165" t="n">
        <x:v>0</x:v>
      </x:c>
      <x:c r="P4" s="165" t="n">
        <x:v>0</x:v>
      </x:c>
      <x:c r="Q4" s="165" t="n">
        <x:v>0</x:v>
      </x:c>
      <x:c r="R4" s="165" t="n">
        <x:v>0</x:v>
      </x:c>
      <x:c r="S4" s="165" t="n">
        <x:v>0</x:v>
      </x:c>
      <x:c r="T4" s="165" t="n">
        <x:v>0</x:v>
      </x:c>
      <x:c r="U4" s="165" t="n">
        <x:v>0</x:v>
      </x:c>
      <x:c r="V4" s="165" t="n">
        <x:v>0</x:v>
      </x:c>
      <x:c r="W4" s="165" t="n">
        <x:v>0</x:v>
      </x:c>
      <x:c r="X4" s="165" t="n">
        <x:v>0</x:v>
      </x:c>
      <x:c r="Y4" s="165" t="n">
        <x:v>0</x:v>
      </x:c>
      <x:c r="Z4" s="165" t="n">
        <x:v>1</x:v>
      </x:c>
      <x:c r="AA4" s="165" t="n">
        <x:v>0</x:v>
      </x:c>
      <x:c r="AB4" s="165" t="n">
        <x:v>1</x:v>
      </x:c>
    </x:row>
    <x:row r="5">
      <x:c r="A5" s="153" t="n">
        <x:v>208</x:v>
      </x:c>
      <x:c r="B5" s="153" t="str">
        <x:v>Digitales 3D-Modell</x:v>
      </x:c>
      <x:c r="C5" s="153" t="str">
        <x:v>Die Entfernung war schwierig zu bestimmen, da hätte mir eine Angabe geholfen</x:v>
      </x:c>
      <x:c r="D5" s="153" t="str">
        <x:v>F1</x:v>
      </x:c>
      <x:c r="E5" s="153" t="str">
        <x:v>Geholfen hat die Beschriftung der einzelnen Teile</x:v>
      </x:c>
      <x:c r="F5" s="153" t="str">
        <x:v>H1</x:v>
      </x:c>
      <x:c r="G5" s="153"/>
      <x:c r="H5" s="165" t="n">
        <x:v>1</x:v>
      </x:c>
      <x:c r="I5" s="165" t="n">
        <x:v>0</x:v>
      </x:c>
      <x:c r="J5" s="165" t="n">
        <x:v>0</x:v>
      </x:c>
      <x:c r="K5" s="165" t="n">
        <x:v>0</x:v>
      </x:c>
      <x:c r="L5" s="165" t="n">
        <x:v>0</x:v>
      </x:c>
      <x:c r="M5" s="165" t="n">
        <x:v>0</x:v>
      </x:c>
      <x:c r="N5" s="165" t="n">
        <x:v>0</x:v>
      </x:c>
      <x:c r="O5" s="165" t="n">
        <x:v>0</x:v>
      </x:c>
      <x:c r="P5" s="165" t="n">
        <x:v>0</x:v>
      </x:c>
      <x:c r="Q5" s="165" t="n">
        <x:v>0</x:v>
      </x:c>
      <x:c r="R5" s="165" t="n">
        <x:v>0</x:v>
      </x:c>
      <x:c r="S5" s="165" t="n">
        <x:v>0</x:v>
      </x:c>
      <x:c r="T5" s="165" t="n">
        <x:v>0</x:v>
      </x:c>
      <x:c r="U5" s="165" t="n">
        <x:v>0</x:v>
      </x:c>
      <x:c r="V5" s="165" t="n">
        <x:v>1</x:v>
      </x:c>
      <x:c r="W5" s="165" t="n">
        <x:v>0</x:v>
      </x:c>
      <x:c r="X5" s="165" t="n">
        <x:v>0</x:v>
      </x:c>
      <x:c r="Y5" s="165" t="n">
        <x:v>0</x:v>
      </x:c>
      <x:c r="Z5" s="165" t="n">
        <x:v>0</x:v>
      </x:c>
      <x:c r="AA5" s="165" t="n">
        <x:v>0</x:v>
      </x:c>
      <x:c r="AB5" s="165" t="n">
        <x:v>1</x:v>
      </x:c>
    </x:row>
    <x:row r="6">
      <x:c r="A6" s="153" t="n">
        <x:v>209</x:v>
      </x:c>
      <x:c r="B6" s="153" t="str">
        <x:v>Digitales 3D-Modell</x:v>
      </x:c>
      <x:c r="C6" s="153"/>
      <x:c r="D6" s="153"/>
      <x:c r="E6" s="153" t="str">
        <x:v>Nachvollziehbarer Höhenunterschied</x:v>
      </x:c>
      <x:c r="F6" s="153" t="str">
        <x:v>H6</x:v>
      </x:c>
      <x:c r="G6" s="153"/>
      <x:c r="H6" s="165" t="n">
        <x:v>0</x:v>
      </x:c>
      <x:c r="I6" s="165" t="n">
        <x:v>0</x:v>
      </x:c>
      <x:c r="J6" s="165" t="n">
        <x:v>0</x:v>
      </x:c>
      <x:c r="K6" s="165" t="n">
        <x:v>0</x:v>
      </x:c>
      <x:c r="L6" s="165" t="n">
        <x:v>0</x:v>
      </x:c>
      <x:c r="M6" s="165" t="n">
        <x:v>1</x:v>
      </x:c>
      <x:c r="N6" s="165" t="n">
        <x:v>0</x:v>
      </x:c>
      <x:c r="O6" s="165" t="n">
        <x:v>0</x:v>
      </x:c>
      <x:c r="P6" s="165" t="n">
        <x:v>0</x:v>
      </x:c>
      <x:c r="Q6" s="165" t="n">
        <x:v>0</x:v>
      </x:c>
      <x:c r="R6" s="165" t="n">
        <x:v>0</x:v>
      </x:c>
      <x:c r="S6" s="165" t="n">
        <x:v>0</x:v>
      </x:c>
      <x:c r="T6" s="165" t="n">
        <x:v>0</x:v>
      </x:c>
      <x:c r="U6" s="165" t="n">
        <x:v>0</x:v>
      </x:c>
      <x:c r="V6" s="165" t="n">
        <x:v>0</x:v>
      </x:c>
      <x:c r="W6" s="165" t="n">
        <x:v>0</x:v>
      </x:c>
      <x:c r="X6" s="165" t="n">
        <x:v>0</x:v>
      </x:c>
      <x:c r="Y6" s="165" t="n">
        <x:v>0</x:v>
      </x:c>
      <x:c r="Z6" s="165" t="n">
        <x:v>0</x:v>
      </x:c>
      <x:c r="AA6" s="165" t="n">
        <x:v>0</x:v>
      </x:c>
      <x:c r="AB6" s="165" t="n">
        <x:v>0</x:v>
      </x:c>
    </x:row>
    <x:row r="7">
      <x:c r="A7" s="153" t="n">
        <x:v>220</x:v>
      </x:c>
      <x:c r="B7" s="153" t="str">
        <x:v>Digitales 3D-Modell</x:v>
      </x:c>
      <x:c r="C7" s="153" t="str">
        <x:v>Ne war ok</x:v>
      </x:c>
      <x:c r="D7" s="153" t="str">
        <x:v>F0</x:v>
      </x:c>
      <x:c r="E7" s="153" t="str">
        <x:v>Die maus</x:v>
      </x:c>
      <x:c r="F7" s="153" t="str">
        <x:v>H2</x:v>
      </x:c>
      <x:c r="G7" s="153"/>
      <x:c r="H7" s="165" t="n">
        <x:v>0</x:v>
      </x:c>
      <x:c r="I7" s="165" t="n">
        <x:v>1</x:v>
      </x:c>
      <x:c r="J7" s="165" t="n">
        <x:v>0</x:v>
      </x:c>
      <x:c r="K7" s="165" t="n">
        <x:v>0</x:v>
      </x:c>
      <x:c r="L7" s="165" t="n">
        <x:v>0</x:v>
      </x:c>
      <x:c r="M7" s="165" t="n">
        <x:v>0</x:v>
      </x:c>
      <x:c r="N7" s="165" t="n">
        <x:v>0</x:v>
      </x:c>
      <x:c r="O7" s="165" t="n">
        <x:v>0</x:v>
      </x:c>
      <x:c r="P7" s="165" t="n">
        <x:v>0</x:v>
      </x:c>
      <x:c r="Q7" s="165" t="n">
        <x:v>0</x:v>
      </x:c>
      <x:c r="R7" s="165" t="n">
        <x:v>0</x:v>
      </x:c>
      <x:c r="S7" s="165" t="n">
        <x:v>0</x:v>
      </x:c>
      <x:c r="T7" s="165" t="n">
        <x:v>0</x:v>
      </x:c>
      <x:c r="U7" s="165" t="n">
        <x:v>1</x:v>
      </x:c>
      <x:c r="V7" s="165" t="n">
        <x:v>0</x:v>
      </x:c>
      <x:c r="W7" s="165" t="n">
        <x:v>0</x:v>
      </x:c>
      <x:c r="X7" s="165" t="n">
        <x:v>0</x:v>
      </x:c>
      <x:c r="Y7" s="165" t="n">
        <x:v>0</x:v>
      </x:c>
      <x:c r="Z7" s="165" t="n">
        <x:v>0</x:v>
      </x:c>
      <x:c r="AA7" s="165" t="n">
        <x:v>0</x:v>
      </x:c>
      <x:c r="AB7" s="165" t="n">
        <x:v>0</x:v>
      </x:c>
    </x:row>
    <x:row r="8">
      <x:c r="A8" s="153" t="n">
        <x:v>222</x:v>
      </x:c>
      <x:c r="B8" s="153" t="str">
        <x:v>Digitales 3D-Modell</x:v>
      </x:c>
      <x:c r="C8" s="153"/>
      <x:c r="D8" s="153"/>
      <x:c r="E8" s="153" t="str">
        <x:v>3D Ansicht</x:v>
      </x:c>
      <x:c r="F8" s="153" t="str">
        <x:v>H2</x:v>
      </x:c>
      <x:c r="G8" s="153"/>
      <x:c r="H8" s="165" t="n">
        <x:v>0</x:v>
      </x:c>
      <x:c r="I8" s="165" t="n">
        <x:v>1</x:v>
      </x:c>
      <x:c r="J8" s="165" t="n">
        <x:v>0</x:v>
      </x:c>
      <x:c r="K8" s="165" t="n">
        <x:v>0</x:v>
      </x:c>
      <x:c r="L8" s="165" t="n">
        <x:v>0</x:v>
      </x:c>
      <x:c r="M8" s="165" t="n">
        <x:v>0</x:v>
      </x:c>
      <x:c r="N8" s="165" t="n">
        <x:v>0</x:v>
      </x:c>
      <x:c r="O8" s="165" t="n">
        <x:v>0</x:v>
      </x:c>
      <x:c r="P8" s="165" t="n">
        <x:v>0</x:v>
      </x:c>
      <x:c r="Q8" s="165" t="n">
        <x:v>0</x:v>
      </x:c>
      <x:c r="R8" s="165" t="n">
        <x:v>0</x:v>
      </x:c>
      <x:c r="S8" s="165" t="n">
        <x:v>0</x:v>
      </x:c>
      <x:c r="T8" s="165" t="n">
        <x:v>0</x:v>
      </x:c>
      <x:c r="U8" s="165" t="n">
        <x:v>0</x:v>
      </x:c>
      <x:c r="V8" s="165" t="n">
        <x:v>0</x:v>
      </x:c>
      <x:c r="W8" s="165" t="n">
        <x:v>0</x:v>
      </x:c>
      <x:c r="X8" s="165" t="n">
        <x:v>0</x:v>
      </x:c>
      <x:c r="Y8" s="165" t="n">
        <x:v>0</x:v>
      </x:c>
      <x:c r="Z8" s="165" t="n">
        <x:v>0</x:v>
      </x:c>
      <x:c r="AA8" s="165" t="n">
        <x:v>0</x:v>
      </x:c>
      <x:c r="AB8" s="165" t="n">
        <x:v>0</x:v>
      </x:c>
    </x:row>
    <x:row r="9">
      <x:c r="A9" s="153" t="n">
        <x:v>226</x:v>
      </x:c>
      <x:c r="B9" s="153" t="str">
        <x:v>Lageplan</x:v>
      </x:c>
      <x:c r="C9" s="153"/>
      <x:c r="D9" s="153"/>
      <x:c r="E9" s="153"/>
      <x:c r="F9" s="153"/>
      <x:c r="G9" s="153"/>
      <x:c r="H9" s="165" t="n">
        <x:v>0</x:v>
      </x:c>
      <x:c r="I9" s="165" t="n">
        <x:v>0</x:v>
      </x:c>
      <x:c r="J9" s="165" t="n">
        <x:v>0</x:v>
      </x:c>
      <x:c r="K9" s="165" t="n">
        <x:v>0</x:v>
      </x:c>
      <x:c r="L9" s="165" t="n">
        <x:v>0</x:v>
      </x:c>
      <x:c r="M9" s="165" t="n">
        <x:v>0</x:v>
      </x:c>
      <x:c r="N9" s="165" t="n">
        <x:v>0</x:v>
      </x:c>
      <x:c r="O9" s="165" t="n">
        <x:v>0</x:v>
      </x:c>
      <x:c r="P9" s="165" t="n">
        <x:v>0</x:v>
      </x:c>
      <x:c r="Q9" s="165" t="n">
        <x:v>0</x:v>
      </x:c>
      <x:c r="R9" s="165" t="n">
        <x:v>0</x:v>
      </x:c>
      <x:c r="S9" s="165" t="n">
        <x:v>0</x:v>
      </x:c>
      <x:c r="T9" s="165" t="n">
        <x:v>0</x:v>
      </x:c>
      <x:c r="U9" s="165" t="n">
        <x:v>0</x:v>
      </x:c>
      <x:c r="V9" s="165" t="n">
        <x:v>0</x:v>
      </x:c>
      <x:c r="W9" s="165" t="n">
        <x:v>0</x:v>
      </x:c>
      <x:c r="X9" s="165" t="n">
        <x:v>0</x:v>
      </x:c>
      <x:c r="Y9" s="165" t="n">
        <x:v>0</x:v>
      </x:c>
      <x:c r="Z9" s="165" t="n">
        <x:v>0</x:v>
      </x:c>
      <x:c r="AA9" s="165" t="n">
        <x:v>0</x:v>
      </x:c>
      <x:c r="AB9" s="165" t="n">
        <x:v>0</x:v>
      </x:c>
    </x:row>
    <x:row r="10">
      <x:c r="A10" s="153" t="n">
        <x:v>227</x:v>
      </x:c>
      <x:c r="B10" s="153" t="str">
        <x:v>Lageplan</x:v>
      </x:c>
      <x:c r="C10" s="153"/>
      <x:c r="D10" s="153"/>
      <x:c r="E10" s="153"/>
      <x:c r="F10" s="153"/>
      <x:c r="G10" s="153"/>
      <x:c r="H10" s="165" t="n">
        <x:v>0</x:v>
      </x:c>
      <x:c r="I10" s="165" t="n">
        <x:v>0</x:v>
      </x:c>
      <x:c r="J10" s="165" t="n">
        <x:v>0</x:v>
      </x:c>
      <x:c r="K10" s="165" t="n">
        <x:v>0</x:v>
      </x:c>
      <x:c r="L10" s="165" t="n">
        <x:v>0</x:v>
      </x:c>
      <x:c r="M10" s="165" t="n">
        <x:v>0</x:v>
      </x:c>
      <x:c r="N10" s="165" t="n">
        <x:v>0</x:v>
      </x:c>
      <x:c r="O10" s="165" t="n">
        <x:v>0</x:v>
      </x:c>
      <x:c r="P10" s="165" t="n">
        <x:v>0</x:v>
      </x:c>
      <x:c r="Q10" s="165" t="n">
        <x:v>0</x:v>
      </x:c>
      <x:c r="R10" s="165" t="n">
        <x:v>0</x:v>
      </x:c>
      <x:c r="S10" s="165" t="n">
        <x:v>0</x:v>
      </x:c>
      <x:c r="T10" s="165" t="n">
        <x:v>0</x:v>
      </x:c>
      <x:c r="U10" s="165" t="n">
        <x:v>0</x:v>
      </x:c>
      <x:c r="V10" s="165" t="n">
        <x:v>0</x:v>
      </x:c>
      <x:c r="W10" s="165" t="n">
        <x:v>0</x:v>
      </x:c>
      <x:c r="X10" s="165" t="n">
        <x:v>0</x:v>
      </x:c>
      <x:c r="Y10" s="165" t="n">
        <x:v>0</x:v>
      </x:c>
      <x:c r="Z10" s="165" t="n">
        <x:v>0</x:v>
      </x:c>
      <x:c r="AA10" s="165" t="n">
        <x:v>0</x:v>
      </x:c>
      <x:c r="AB10" s="165" t="n">
        <x:v>0</x:v>
      </x:c>
    </x:row>
    <x:row r="11">
      <x:c r="A11" s="153" t="n">
        <x:v>228</x:v>
      </x:c>
      <x:c r="B11" s="153" t="str">
        <x:v>Lageplan</x:v>
      </x:c>
      <x:c r="C11" s="153" t="str">
        <x:v>Nein</x:v>
      </x:c>
      <x:c r="D11" s="153" t="str">
        <x:v>F0</x:v>
      </x:c>
      <x:c r="E11" s="153" t="str">
        <x:v>Gut: Farbgebung, Markierung der Gebäude mit Buchstaben/Zahlen
Achlecht: Topographielinien zu schwach</x:v>
      </x:c>
      <x:c r="F11" s="153" t="str">
        <x:v>H1</x:v>
      </x:c>
      <x:c r="G11" s="153" t="str">
        <x:v>S2</x:v>
      </x:c>
      <x:c r="H11" s="165" t="n">
        <x:v>1</x:v>
      </x:c>
      <x:c r="I11" s="165" t="n">
        <x:v>0</x:v>
      </x:c>
      <x:c r="J11" s="165" t="n">
        <x:v>0</x:v>
      </x:c>
      <x:c r="K11" s="165" t="n">
        <x:v>0</x:v>
      </x:c>
      <x:c r="L11" s="165" t="n">
        <x:v>0</x:v>
      </x:c>
      <x:c r="M11" s="165" t="n">
        <x:v>0</x:v>
      </x:c>
      <x:c r="N11" s="165" t="n">
        <x:v>0</x:v>
      </x:c>
      <x:c r="O11" s="165" t="n">
        <x:v>0</x:v>
      </x:c>
      <x:c r="P11" s="165" t="n">
        <x:v>1</x:v>
      </x:c>
      <x:c r="Q11" s="165" t="n">
        <x:v>0</x:v>
      </x:c>
      <x:c r="R11" s="165" t="n">
        <x:v>0</x:v>
      </x:c>
      <x:c r="S11" s="165" t="n">
        <x:v>0</x:v>
      </x:c>
      <x:c r="T11" s="165" t="n">
        <x:v>0</x:v>
      </x:c>
      <x:c r="U11" s="165" t="n">
        <x:v>1</x:v>
      </x:c>
      <x:c r="V11" s="165" t="n">
        <x:v>0</x:v>
      </x:c>
      <x:c r="W11" s="165" t="n">
        <x:v>0</x:v>
      </x:c>
      <x:c r="X11" s="165" t="n">
        <x:v>0</x:v>
      </x:c>
      <x:c r="Y11" s="165" t="n">
        <x:v>0</x:v>
      </x:c>
      <x:c r="Z11" s="165" t="n">
        <x:v>0</x:v>
      </x:c>
      <x:c r="AA11" s="165" t="n">
        <x:v>0</x:v>
      </x:c>
      <x:c r="AB11" s="165" t="n">
        <x:v>0</x:v>
      </x:c>
    </x:row>
    <x:row r="12">
      <x:c r="A12" s="153" t="n">
        <x:v>229</x:v>
      </x:c>
      <x:c r="B12" s="153" t="str">
        <x:v>Digitales 3D-Modell</x:v>
      </x:c>
      <x:c r="C12" s="153"/>
      <x:c r="D12" s="153"/>
      <x:c r="E12" s="153"/>
      <x:c r="F12" s="153"/>
      <x:c r="G12" s="153"/>
      <x:c r="H12" s="165" t="n">
        <x:v>0</x:v>
      </x:c>
      <x:c r="I12" s="165" t="n">
        <x:v>0</x:v>
      </x:c>
      <x:c r="J12" s="165" t="n">
        <x:v>0</x:v>
      </x:c>
      <x:c r="K12" s="165" t="n">
        <x:v>0</x:v>
      </x:c>
      <x:c r="L12" s="165" t="n">
        <x:v>0</x:v>
      </x:c>
      <x:c r="M12" s="165" t="n">
        <x:v>0</x:v>
      </x:c>
      <x:c r="N12" s="165" t="n">
        <x:v>0</x:v>
      </x:c>
      <x:c r="O12" s="165" t="n">
        <x:v>0</x:v>
      </x:c>
      <x:c r="P12" s="165" t="n">
        <x:v>0</x:v>
      </x:c>
      <x:c r="Q12" s="165" t="n">
        <x:v>0</x:v>
      </x:c>
      <x:c r="R12" s="165" t="n">
        <x:v>0</x:v>
      </x:c>
      <x:c r="S12" s="165" t="n">
        <x:v>0</x:v>
      </x:c>
      <x:c r="T12" s="165" t="n">
        <x:v>0</x:v>
      </x:c>
      <x:c r="U12" s="165" t="n">
        <x:v>0</x:v>
      </x:c>
      <x:c r="V12" s="165" t="n">
        <x:v>0</x:v>
      </x:c>
      <x:c r="W12" s="165" t="n">
        <x:v>0</x:v>
      </x:c>
      <x:c r="X12" s="165" t="n">
        <x:v>0</x:v>
      </x:c>
      <x:c r="Y12" s="165" t="n">
        <x:v>0</x:v>
      </x:c>
      <x:c r="Z12" s="165" t="n">
        <x:v>0</x:v>
      </x:c>
      <x:c r="AA12" s="165" t="n">
        <x:v>0</x:v>
      </x:c>
      <x:c r="AB12" s="165" t="n">
        <x:v>0</x:v>
      </x:c>
    </x:row>
    <x:row r="13">
      <x:c r="A13" s="153" t="n">
        <x:v>235</x:v>
      </x:c>
      <x:c r="B13" s="153" t="str">
        <x:v>Lageplan</x:v>
      </x:c>
      <x:c r="C13" s="153"/>
      <x:c r="D13" s="153"/>
      <x:c r="E13" s="153"/>
      <x:c r="F13" s="153"/>
      <x:c r="G13" s="153"/>
      <x:c r="H13" s="165" t="n">
        <x:v>0</x:v>
      </x:c>
      <x:c r="I13" s="165" t="n">
        <x:v>0</x:v>
      </x:c>
      <x:c r="J13" s="165" t="n">
        <x:v>0</x:v>
      </x:c>
      <x:c r="K13" s="165" t="n">
        <x:v>0</x:v>
      </x:c>
      <x:c r="L13" s="165" t="n">
        <x:v>0</x:v>
      </x:c>
      <x:c r="M13" s="165" t="n">
        <x:v>0</x:v>
      </x:c>
      <x:c r="N13" s="165" t="n">
        <x:v>0</x:v>
      </x:c>
      <x:c r="O13" s="165" t="n">
        <x:v>0</x:v>
      </x:c>
      <x:c r="P13" s="165" t="n">
        <x:v>0</x:v>
      </x:c>
      <x:c r="Q13" s="165" t="n">
        <x:v>0</x:v>
      </x:c>
      <x:c r="R13" s="165" t="n">
        <x:v>0</x:v>
      </x:c>
      <x:c r="S13" s="165" t="n">
        <x:v>0</x:v>
      </x:c>
      <x:c r="T13" s="165" t="n">
        <x:v>0</x:v>
      </x:c>
      <x:c r="U13" s="165" t="n">
        <x:v>0</x:v>
      </x:c>
      <x:c r="V13" s="165" t="n">
        <x:v>0</x:v>
      </x:c>
      <x:c r="W13" s="165" t="n">
        <x:v>0</x:v>
      </x:c>
      <x:c r="X13" s="165" t="n">
        <x:v>0</x:v>
      </x:c>
      <x:c r="Y13" s="165" t="n">
        <x:v>0</x:v>
      </x:c>
      <x:c r="Z13" s="165" t="n">
        <x:v>0</x:v>
      </x:c>
      <x:c r="AA13" s="165" t="n">
        <x:v>0</x:v>
      </x:c>
      <x:c r="AB13" s="165" t="n">
        <x:v>0</x:v>
      </x:c>
    </x:row>
    <x:row r="14">
      <x:c r="A14" s="153" t="n">
        <x:v>238</x:v>
      </x:c>
      <x:c r="B14" s="153" t="str">
        <x:v>Lageplan</x:v>
      </x:c>
      <x:c r="C14" s="153" t="str">
        <x:v>Die Maßstab Legende</x:v>
      </x:c>
      <x:c r="D14" s="153" t="str">
        <x:v>F1; F3</x:v>
      </x:c>
      <x:c r="E14" s="153" t="str">
        <x:v>Der plan</x:v>
      </x:c>
      <x:c r="F14" s="153" t="str">
        <x:v>H3</x:v>
      </x:c>
      <x:c r="G14" s="153"/>
      <x:c r="H14" s="165" t="n">
        <x:v>0</x:v>
      </x:c>
      <x:c r="I14" s="165" t="n">
        <x:v>0</x:v>
      </x:c>
      <x:c r="J14" s="165" t="n">
        <x:v>1</x:v>
      </x:c>
      <x:c r="K14" s="165" t="n">
        <x:v>0</x:v>
      </x:c>
      <x:c r="L14" s="165" t="n">
        <x:v>0</x:v>
      </x:c>
      <x:c r="M14" s="165" t="n">
        <x:v>0</x:v>
      </x:c>
      <x:c r="N14" s="165" t="n">
        <x:v>0</x:v>
      </x:c>
      <x:c r="O14" s="165" t="n">
        <x:v>0</x:v>
      </x:c>
      <x:c r="P14" s="165" t="n">
        <x:v>0</x:v>
      </x:c>
      <x:c r="Q14" s="165" t="n">
        <x:v>0</x:v>
      </x:c>
      <x:c r="R14" s="165" t="n">
        <x:v>0</x:v>
      </x:c>
      <x:c r="S14" s="165" t="n">
        <x:v>0</x:v>
      </x:c>
      <x:c r="T14" s="165" t="n">
        <x:v>0</x:v>
      </x:c>
      <x:c r="U14" s="165" t="n">
        <x:v>0</x:v>
      </x:c>
      <x:c r="V14" s="165" t="n">
        <x:v>1</x:v>
      </x:c>
      <x:c r="W14" s="165" t="n">
        <x:v>0</x:v>
      </x:c>
      <x:c r="X14" s="165" t="n">
        <x:v>1</x:v>
      </x:c>
      <x:c r="Y14" s="165" t="n">
        <x:v>0</x:v>
      </x:c>
      <x:c r="Z14" s="165" t="n">
        <x:v>0</x:v>
      </x:c>
      <x:c r="AA14" s="165" t="n">
        <x:v>0</x:v>
      </x:c>
      <x:c r="AB14" s="165" t="n">
        <x:v>1</x:v>
      </x:c>
    </x:row>
    <x:row r="15">
      <x:c r="A15" s="153" t="n">
        <x:v>245</x:v>
      </x:c>
      <x:c r="B15" s="153" t="str">
        <x:v>Lageplan</x:v>
      </x:c>
      <x:c r="C15" s="153"/>
      <x:c r="D15" s="153"/>
      <x:c r="E15" s="153" t="str">
        <x:v>Gefehlt: Farben bei der Höhendarstellung
Beschriftungen der einzelnen Punkte 
Geholfen: Farben,</x:v>
      </x:c>
      <x:c r="F15" s="153" t="str">
        <x:v>H1</x:v>
      </x:c>
      <x:c r="G15" s="153" t="str">
        <x:v>S2; S3</x:v>
      </x:c>
      <x:c r="H15" s="165" t="n">
        <x:v>1</x:v>
      </x:c>
      <x:c r="I15" s="165" t="n">
        <x:v>0</x:v>
      </x:c>
      <x:c r="J15" s="165" t="n">
        <x:v>0</x:v>
      </x:c>
      <x:c r="K15" s="165" t="n">
        <x:v>0</x:v>
      </x:c>
      <x:c r="L15" s="165" t="n">
        <x:v>0</x:v>
      </x:c>
      <x:c r="M15" s="165" t="n">
        <x:v>0</x:v>
      </x:c>
      <x:c r="N15" s="165" t="n">
        <x:v>0</x:v>
      </x:c>
      <x:c r="O15" s="165" t="n">
        <x:v>0</x:v>
      </x:c>
      <x:c r="P15" s="165" t="n">
        <x:v>1</x:v>
      </x:c>
      <x:c r="Q15" s="165" t="n">
        <x:v>1</x:v>
      </x:c>
      <x:c r="R15" s="165" t="n">
        <x:v>0</x:v>
      </x:c>
      <x:c r="S15" s="165" t="n">
        <x:v>0</x:v>
      </x:c>
      <x:c r="T15" s="165" t="n">
        <x:v>0</x:v>
      </x:c>
      <x:c r="U15" s="165" t="n">
        <x:v>0</x:v>
      </x:c>
      <x:c r="V15" s="165" t="n">
        <x:v>0</x:v>
      </x:c>
      <x:c r="W15" s="165" t="n">
        <x:v>0</x:v>
      </x:c>
      <x:c r="X15" s="165" t="n">
        <x:v>0</x:v>
      </x:c>
      <x:c r="Y15" s="165" t="n">
        <x:v>0</x:v>
      </x:c>
      <x:c r="Z15" s="165" t="n">
        <x:v>0</x:v>
      </x:c>
      <x:c r="AA15" s="165" t="n">
        <x:v>0</x:v>
      </x:c>
      <x:c r="AB15" s="165" t="n">
        <x:v>0</x:v>
      </x:c>
    </x:row>
    <x:row r="16">
      <x:c r="A16" s="153" t="n">
        <x:v>246</x:v>
      </x:c>
      <x:c r="B16" s="153" t="str">
        <x:v>Physisches 3D-Modell</x:v>
      </x:c>
      <x:c r="C16" s="153" t="str">
        <x:v>Was davon außenwand des Klosters ist.meitn es das Haupt Kater oder dienumzäunung ums helände beim Besucher Zentrum</x:v>
      </x:c>
      <x:c r="D16" s="153" t="str">
        <x:v>F3</x:v>
      </x:c>
      <x:c r="E16" s="153" t="str">
        <x:v>Ich hab keine Ahnung wie ich intuitiv 1:500 interpretiere. Es gibt keinen strichellinie die mir wie auf Karten zeigt welche Distanz in welcher relationnstehrm</x:v>
      </x:c>
      <x:c r="F16" s="153"/>
      <x:c r="G16" s="153" t="str">
        <x:v>S1</x:v>
      </x:c>
      <x:c r="H16" s="165" t="n">
        <x:v>0</x:v>
      </x:c>
      <x:c r="I16" s="165" t="n">
        <x:v>0</x:v>
      </x:c>
      <x:c r="J16" s="165" t="n">
        <x:v>0</x:v>
      </x:c>
      <x:c r="K16" s="165" t="n">
        <x:v>0</x:v>
      </x:c>
      <x:c r="L16" s="165" t="n">
        <x:v>0</x:v>
      </x:c>
      <x:c r="M16" s="165" t="n">
        <x:v>0</x:v>
      </x:c>
      <x:c r="N16" s="165" t="n">
        <x:v>0</x:v>
      </x:c>
      <x:c r="O16" s="165" t="n">
        <x:v>1</x:v>
      </x:c>
      <x:c r="P16" s="165" t="n">
        <x:v>0</x:v>
      </x:c>
      <x:c r="Q16" s="165" t="n">
        <x:v>0</x:v>
      </x:c>
      <x:c r="R16" s="165" t="n">
        <x:v>0</x:v>
      </x:c>
      <x:c r="S16" s="165" t="n">
        <x:v>0</x:v>
      </x:c>
      <x:c r="T16" s="165" t="n">
        <x:v>0</x:v>
      </x:c>
      <x:c r="U16" s="165" t="n">
        <x:v>0</x:v>
      </x:c>
      <x:c r="V16" s="165" t="n">
        <x:v>0</x:v>
      </x:c>
      <x:c r="W16" s="165" t="n">
        <x:v>0</x:v>
      </x:c>
      <x:c r="X16" s="165" t="n">
        <x:v>1</x:v>
      </x:c>
      <x:c r="Y16" s="165" t="n">
        <x:v>0</x:v>
      </x:c>
      <x:c r="Z16" s="165" t="n">
        <x:v>0</x:v>
      </x:c>
      <x:c r="AA16" s="165" t="n">
        <x:v>0</x:v>
      </x:c>
      <x:c r="AB16" s="165" t="n">
        <x:v>1</x:v>
      </x:c>
    </x:row>
    <x:row r="17">
      <x:c r="A17" s="153" t="n">
        <x:v>247</x:v>
      </x:c>
      <x:c r="B17" s="153" t="str">
        <x:v>Physisches 3D-Modell</x:v>
      </x:c>
      <x:c r="C17" s="153"/>
      <x:c r="D17" s="153"/>
      <x:c r="E17" s="153" t="str">
        <x:v>Anhaltspunkte auf dem Plan, Mauern</x:v>
      </x:c>
      <x:c r="F17" s="153" t="str">
        <x:v>H1</x:v>
      </x:c>
      <x:c r="G17" s="153"/>
      <x:c r="H17" s="165" t="n">
        <x:v>1</x:v>
      </x:c>
      <x:c r="I17" s="165" t="n">
        <x:v>0</x:v>
      </x:c>
      <x:c r="J17" s="165" t="n">
        <x:v>0</x:v>
      </x:c>
      <x:c r="K17" s="165" t="n">
        <x:v>0</x:v>
      </x:c>
      <x:c r="L17" s="165" t="n">
        <x:v>0</x:v>
      </x:c>
      <x:c r="M17" s="165" t="n">
        <x:v>0</x:v>
      </x:c>
      <x:c r="N17" s="165" t="n">
        <x:v>0</x:v>
      </x:c>
      <x:c r="O17" s="165" t="n">
        <x:v>0</x:v>
      </x:c>
      <x:c r="P17" s="165" t="n">
        <x:v>0</x:v>
      </x:c>
      <x:c r="Q17" s="165" t="n">
        <x:v>0</x:v>
      </x:c>
      <x:c r="R17" s="165" t="n">
        <x:v>0</x:v>
      </x:c>
      <x:c r="S17" s="165" t="n">
        <x:v>0</x:v>
      </x:c>
      <x:c r="T17" s="165" t="n">
        <x:v>0</x:v>
      </x:c>
      <x:c r="U17" s="165" t="n">
        <x:v>0</x:v>
      </x:c>
      <x:c r="V17" s="165" t="n">
        <x:v>0</x:v>
      </x:c>
      <x:c r="W17" s="165" t="n">
        <x:v>0</x:v>
      </x:c>
      <x:c r="X17" s="165" t="n">
        <x:v>0</x:v>
      </x:c>
      <x:c r="Y17" s="165" t="n">
        <x:v>0</x:v>
      </x:c>
      <x:c r="Z17" s="165" t="n">
        <x:v>0</x:v>
      </x:c>
      <x:c r="AA17" s="165" t="n">
        <x:v>0</x:v>
      </x:c>
      <x:c r="AB17" s="165" t="n">
        <x:v>0</x:v>
      </x:c>
    </x:row>
    <x:row r="18">
      <x:c r="A18" s="153" t="n">
        <x:v>248</x:v>
      </x:c>
      <x:c r="B18" s="153" t="str">
        <x:v>Lageplan</x:v>
      </x:c>
      <x:c r="C18" s="153" t="str">
        <x:v>Mit der Höhe habe ich keine Ahnung. Gab es da einen Hinweise?</x:v>
      </x:c>
      <x:c r="D18" s="153" t="str">
        <x:v>F2</x:v>
      </x:c>
      <x:c r="E18" s="153" t="str">
        <x:v>Die Buchstaben und die verschiedenen Zahlen. Die Färbung speziell für die Gebäude</x:v>
      </x:c>
      <x:c r="F18" s="153" t="str">
        <x:v>H1</x:v>
      </x:c>
      <x:c r="G18" s="153"/>
      <x:c r="H18" s="165" t="n">
        <x:v>1</x:v>
      </x:c>
      <x:c r="I18" s="165" t="n">
        <x:v>0</x:v>
      </x:c>
      <x:c r="J18" s="165" t="n">
        <x:v>0</x:v>
      </x:c>
      <x:c r="K18" s="165" t="n">
        <x:v>0</x:v>
      </x:c>
      <x:c r="L18" s="165" t="n">
        <x:v>0</x:v>
      </x:c>
      <x:c r="M18" s="165" t="n">
        <x:v>0</x:v>
      </x:c>
      <x:c r="N18" s="165" t="n">
        <x:v>0</x:v>
      </x:c>
      <x:c r="O18" s="165" t="n">
        <x:v>0</x:v>
      </x:c>
      <x:c r="P18" s="165" t="n">
        <x:v>0</x:v>
      </x:c>
      <x:c r="Q18" s="165" t="n">
        <x:v>0</x:v>
      </x:c>
      <x:c r="R18" s="165" t="n">
        <x:v>0</x:v>
      </x:c>
      <x:c r="S18" s="165" t="n">
        <x:v>0</x:v>
      </x:c>
      <x:c r="T18" s="165" t="n">
        <x:v>0</x:v>
      </x:c>
      <x:c r="U18" s="165" t="n">
        <x:v>0</x:v>
      </x:c>
      <x:c r="V18" s="165" t="n">
        <x:v>0</x:v>
      </x:c>
      <x:c r="W18" s="165" t="n">
        <x:v>1</x:v>
      </x:c>
      <x:c r="X18" s="165" t="n">
        <x:v>0</x:v>
      </x:c>
      <x:c r="Y18" s="165" t="n">
        <x:v>0</x:v>
      </x:c>
      <x:c r="Z18" s="165" t="n">
        <x:v>0</x:v>
      </x:c>
      <x:c r="AA18" s="165" t="n">
        <x:v>0</x:v>
      </x:c>
      <x:c r="AB18" s="165" t="n">
        <x:v>1</x:v>
      </x:c>
    </x:row>
    <x:row r="19">
      <x:c r="A19" s="153" t="n">
        <x:v>249</x:v>
      </x:c>
      <x:c r="B19" s="153" t="str">
        <x:v>Lageplan</x:v>
      </x:c>
      <x:c r="C19" s="153" t="str">
        <x:v>Woher weiß man, wie lang und hoch alles ist?
Das hab ich nicht verstanden. 
Ansonsten guter, übersichtlicher Lageplan, der leicht Orientierung möglich macht.</x:v>
      </x:c>
      <x:c r="D19" s="153" t="str">
        <x:v>F1; F2; F6</x:v>
      </x:c>
      <x:c r="E19" s="153" t="str">
        <x:v>Die Drstellung verschiedener Objekte, Gebäude, Bäume ist klar nachvollziehbar und die Nummern und Namen ebenfalls. Ich konnte allerdings nicht nachvollziehen, wie lang die Strecken und Entfernungen sind und auch hoch Dinge liegen oder sind.</x:v>
      </x:c>
      <x:c r="F19" s="153" t="str">
        <x:v>H1</x:v>
      </x:c>
      <x:c r="G19" s="153" t="str">
        <x:v>S1; S2</x:v>
      </x:c>
      <x:c r="H19" s="165" t="n">
        <x:v>1</x:v>
      </x:c>
      <x:c r="I19" s="165" t="n">
        <x:v>0</x:v>
      </x:c>
      <x:c r="J19" s="165" t="n">
        <x:v>0</x:v>
      </x:c>
      <x:c r="K19" s="165" t="n">
        <x:v>0</x:v>
      </x:c>
      <x:c r="L19" s="165" t="n">
        <x:v>0</x:v>
      </x:c>
      <x:c r="M19" s="165" t="n">
        <x:v>0</x:v>
      </x:c>
      <x:c r="N19" s="165" t="n">
        <x:v>0</x:v>
      </x:c>
      <x:c r="O19" s="165" t="n">
        <x:v>1</x:v>
      </x:c>
      <x:c r="P19" s="165" t="n">
        <x:v>1</x:v>
      </x:c>
      <x:c r="Q19" s="165" t="n">
        <x:v>0</x:v>
      </x:c>
      <x:c r="R19" s="165" t="n">
        <x:v>0</x:v>
      </x:c>
      <x:c r="S19" s="165" t="n">
        <x:v>0</x:v>
      </x:c>
      <x:c r="T19" s="165" t="n">
        <x:v>0</x:v>
      </x:c>
      <x:c r="U19" s="165" t="n">
        <x:v>0</x:v>
      </x:c>
      <x:c r="V19" s="165" t="n">
        <x:v>1</x:v>
      </x:c>
      <x:c r="W19" s="165" t="n">
        <x:v>1</x:v>
      </x:c>
      <x:c r="X19" s="165" t="n">
        <x:v>0</x:v>
      </x:c>
      <x:c r="Y19" s="165" t="n">
        <x:v>0</x:v>
      </x:c>
      <x:c r="Z19" s="165" t="n">
        <x:v>0</x:v>
      </x:c>
      <x:c r="AA19" s="165" t="n">
        <x:v>1</x:v>
      </x:c>
      <x:c r="AB19" s="165" t="n">
        <x:v>1</x:v>
      </x:c>
    </x:row>
    <x:row r="20">
      <x:c r="A20" s="153" t="n">
        <x:v>252</x:v>
      </x:c>
      <x:c r="B20" s="153" t="str">
        <x:v>Physisches 3D-Modell</x:v>
      </x:c>
      <x:c r="C20" s="153"/>
      <x:c r="D20" s="153"/>
      <x:c r="E20" s="153" t="str">
        <x:v>Die Wege haben die Bereiche gut unterteilt und die Anordnung insgesamt strukturiert 
Mir hat bei den Ortsbestimmung bei den Beschreibungen die Himmelsrichtung gefehlt aus der ich schaue</x:v>
      </x:c>
      <x:c r="F20" s="153" t="str">
        <x:v>H3</x:v>
      </x:c>
      <x:c r="G20" s="153" t="str">
        <x:v>S4</x:v>
      </x:c>
      <x:c r="H20" s="165" t="n">
        <x:v>0</x:v>
      </x:c>
      <x:c r="I20" s="165" t="n">
        <x:v>0</x:v>
      </x:c>
      <x:c r="J20" s="165" t="n">
        <x:v>1</x:v>
      </x:c>
      <x:c r="K20" s="165" t="n">
        <x:v>0</x:v>
      </x:c>
      <x:c r="L20" s="165" t="n">
        <x:v>0</x:v>
      </x:c>
      <x:c r="M20" s="165" t="n">
        <x:v>0</x:v>
      </x:c>
      <x:c r="N20" s="165" t="n">
        <x:v>0</x:v>
      </x:c>
      <x:c r="O20" s="165" t="n">
        <x:v>0</x:v>
      </x:c>
      <x:c r="P20" s="165" t="n">
        <x:v>0</x:v>
      </x:c>
      <x:c r="Q20" s="165" t="n">
        <x:v>0</x:v>
      </x:c>
      <x:c r="R20" s="165" t="n">
        <x:v>1</x:v>
      </x:c>
      <x:c r="S20" s="165" t="n">
        <x:v>0</x:v>
      </x:c>
      <x:c r="T20" s="165" t="n">
        <x:v>0</x:v>
      </x:c>
      <x:c r="U20" s="165" t="n">
        <x:v>0</x:v>
      </x:c>
      <x:c r="V20" s="165" t="n">
        <x:v>0</x:v>
      </x:c>
      <x:c r="W20" s="165" t="n">
        <x:v>0</x:v>
      </x:c>
      <x:c r="X20" s="165" t="n">
        <x:v>0</x:v>
      </x:c>
      <x:c r="Y20" s="165" t="n">
        <x:v>0</x:v>
      </x:c>
      <x:c r="Z20" s="165" t="n">
        <x:v>0</x:v>
      </x:c>
      <x:c r="AA20" s="165" t="n">
        <x:v>0</x:v>
      </x:c>
      <x:c r="AB20" s="165" t="n">
        <x:v>0</x:v>
      </x:c>
    </x:row>
    <x:row r="21">
      <x:c r="A21" s="153" t="n">
        <x:v>253</x:v>
      </x:c>
      <x:c r="B21" s="153" t="str">
        <x:v>Physisches 3D-Modell</x:v>
      </x:c>
      <x:c r="C21" s="153" t="str">
        <x:v>Nein :)</x:v>
      </x:c>
      <x:c r="D21" s="153" t="str">
        <x:v>F0</x:v>
      </x:c>
      <x:c r="E21" s="153" t="str">
        <x:v>Vieles war in rechtecken aufgeteilt, das verhalf zu einem schnellen Überblick/ schneller Orientierung. Nichts war überladen -&gt; viel Lehrraum (Stadtbild wäre schwieriger gewesen)</x:v>
      </x:c>
      <x:c r="F21" s="153" t="str">
        <x:v>H3</x:v>
      </x:c>
      <x:c r="G21" s="153"/>
      <x:c r="H21" s="165" t="n">
        <x:v>0</x:v>
      </x:c>
      <x:c r="I21" s="165" t="n">
        <x:v>0</x:v>
      </x:c>
      <x:c r="J21" s="165" t="n">
        <x:v>1</x:v>
      </x:c>
      <x:c r="K21" s="165" t="n">
        <x:v>0</x:v>
      </x:c>
      <x:c r="L21" s="165" t="n">
        <x:v>0</x:v>
      </x:c>
      <x:c r="M21" s="165" t="n">
        <x:v>0</x:v>
      </x:c>
      <x:c r="N21" s="165" t="n">
        <x:v>0</x:v>
      </x:c>
      <x:c r="O21" s="165" t="n">
        <x:v>0</x:v>
      </x:c>
      <x:c r="P21" s="165" t="n">
        <x:v>0</x:v>
      </x:c>
      <x:c r="Q21" s="165" t="n">
        <x:v>0</x:v>
      </x:c>
      <x:c r="R21" s="165" t="n">
        <x:v>0</x:v>
      </x:c>
      <x:c r="S21" s="165" t="n">
        <x:v>0</x:v>
      </x:c>
      <x:c r="T21" s="165" t="n">
        <x:v>0</x:v>
      </x:c>
      <x:c r="U21" s="165" t="n">
        <x:v>1</x:v>
      </x:c>
      <x:c r="V21" s="165" t="n">
        <x:v>0</x:v>
      </x:c>
      <x:c r="W21" s="165" t="n">
        <x:v>0</x:v>
      </x:c>
      <x:c r="X21" s="165" t="n">
        <x:v>0</x:v>
      </x:c>
      <x:c r="Y21" s="165" t="n">
        <x:v>0</x:v>
      </x:c>
      <x:c r="Z21" s="165" t="n">
        <x:v>0</x:v>
      </x:c>
      <x:c r="AA21" s="165" t="n">
        <x:v>0</x:v>
      </x:c>
      <x:c r="AB21" s="165" t="n">
        <x:v>0</x:v>
      </x:c>
    </x:row>
    <x:row r="22">
      <x:c r="A22" s="153" t="n">
        <x:v>254</x:v>
      </x:c>
      <x:c r="B22" s="153" t="str">
        <x:v>Physisches 3D-Modell</x:v>
      </x:c>
      <x:c r="C22" s="153"/>
      <x:c r="D22" s="153"/>
      <x:c r="E22" s="153" t="str">
        <x:v>Die plastische Darstellung der Gebäude hat sehr geholfen, eine Vorstellung des Geländes zu bekommen. Ebenso die eingezeichneten Wege und Bezeichnungen. Lediglich das Schätzen der Abstände hat mir Schwierigkeiten bereitet, da mir zunächst nicht klar war, ob sich der Maßstab auf cm oder m bezieht. Ebenso fiel mir fie (fachliche) Einordnung schwer, wie die Lage zu beschreiben ist, ob es sich um lineare, homologe Anordnung etc. handelt</x:v>
      </x:c>
      <x:c r="F22" s="153" t="str">
        <x:v>H1; H2; H3</x:v>
      </x:c>
      <x:c r="G22" s="153" t="str">
        <x:v>S1; S5</x:v>
      </x:c>
      <x:c r="H22" s="165" t="n">
        <x:v>1</x:v>
      </x:c>
      <x:c r="I22" s="165" t="n">
        <x:v>1</x:v>
      </x:c>
      <x:c r="J22" s="165" t="n">
        <x:v>1</x:v>
      </x:c>
      <x:c r="K22" s="165" t="n">
        <x:v>0</x:v>
      </x:c>
      <x:c r="L22" s="165" t="n">
        <x:v>0</x:v>
      </x:c>
      <x:c r="M22" s="165" t="n">
        <x:v>0</x:v>
      </x:c>
      <x:c r="N22" s="165" t="n">
        <x:v>0</x:v>
      </x:c>
      <x:c r="O22" s="165" t="n">
        <x:v>1</x:v>
      </x:c>
      <x:c r="P22" s="165" t="n">
        <x:v>0</x:v>
      </x:c>
      <x:c r="Q22" s="165" t="n">
        <x:v>0</x:v>
      </x:c>
      <x:c r="R22" s="165" t="n">
        <x:v>0</x:v>
      </x:c>
      <x:c r="S22" s="165" t="n">
        <x:v>1</x:v>
      </x:c>
      <x:c r="T22" s="165" t="n">
        <x:v>0</x:v>
      </x:c>
      <x:c r="U22" s="165" t="n">
        <x:v>0</x:v>
      </x:c>
      <x:c r="V22" s="165" t="n">
        <x:v>0</x:v>
      </x:c>
      <x:c r="W22" s="165" t="n">
        <x:v>0</x:v>
      </x:c>
      <x:c r="X22" s="165" t="n">
        <x:v>0</x:v>
      </x:c>
      <x:c r="Y22" s="165" t="n">
        <x:v>0</x:v>
      </x:c>
      <x:c r="Z22" s="165" t="n">
        <x:v>0</x:v>
      </x:c>
      <x:c r="AA22" s="165" t="n">
        <x:v>0</x:v>
      </x:c>
      <x:c r="AB22" s="165" t="n">
        <x:v>0</x:v>
      </x:c>
    </x:row>
    <x:row r="23">
      <x:c r="A23" s="153" t="n">
        <x:v>256</x:v>
      </x:c>
      <x:c r="B23" s="153" t="str">
        <x:v>Physisches 3D-Modell</x:v>
      </x:c>
      <x:c r="C23" s="153" t="str">
        <x:v>Ansprechendes Modell. Schnell erkennbar worum es sich handelt.</x:v>
      </x:c>
      <x:c r="D23" s="153" t="str">
        <x:v>F6</x:v>
      </x:c>
      <x:c r="E23" s="153" t="str">
        <x:v>3 Dimensionale Darstellungsform, Detaillierte Darstellung, Maßstab, Umgebung (Fluss).</x:v>
      </x:c>
      <x:c r="F23" s="153" t="str">
        <x:v>H2; H3; H5</x:v>
      </x:c>
      <x:c r="G23" s="153"/>
      <x:c r="H23" s="165" t="n">
        <x:v>0</x:v>
      </x:c>
      <x:c r="I23" s="165" t="n">
        <x:v>1</x:v>
      </x:c>
      <x:c r="J23" s="165" t="n">
        <x:v>1</x:v>
      </x:c>
      <x:c r="K23" s="165" t="n">
        <x:v>0</x:v>
      </x:c>
      <x:c r="L23" s="165" t="n">
        <x:v>1</x:v>
      </x:c>
      <x:c r="M23" s="165" t="n">
        <x:v>0</x:v>
      </x:c>
      <x:c r="N23" s="165" t="n">
        <x:v>0</x:v>
      </x:c>
      <x:c r="O23" s="165" t="n">
        <x:v>0</x:v>
      </x:c>
      <x:c r="P23" s="165" t="n">
        <x:v>0</x:v>
      </x:c>
      <x:c r="Q23" s="165" t="n">
        <x:v>0</x:v>
      </x:c>
      <x:c r="R23" s="165" t="n">
        <x:v>0</x:v>
      </x:c>
      <x:c r="S23" s="165" t="n">
        <x:v>0</x:v>
      </x:c>
      <x:c r="T23" s="165" t="n">
        <x:v>0</x:v>
      </x:c>
      <x:c r="U23" s="165" t="n">
        <x:v>0</x:v>
      </x:c>
      <x:c r="V23" s="165" t="n">
        <x:v>0</x:v>
      </x:c>
      <x:c r="W23" s="165" t="n">
        <x:v>0</x:v>
      </x:c>
      <x:c r="X23" s="165" t="n">
        <x:v>0</x:v>
      </x:c>
      <x:c r="Y23" s="165" t="n">
        <x:v>0</x:v>
      </x:c>
      <x:c r="Z23" s="165" t="n">
        <x:v>0</x:v>
      </x:c>
      <x:c r="AA23" s="165" t="n">
        <x:v>1</x:v>
      </x:c>
      <x:c r="AB23" s="165" t="n">
        <x:v>1</x:v>
      </x:c>
    </x:row>
    <x:row r="24">
      <x:c r="A24" s="153" t="n">
        <x:v>257</x:v>
      </x:c>
      <x:c r="B24" s="153" t="str">
        <x:v>Physisches 3D-Modell</x:v>
      </x:c>
      <x:c r="C24" s="153" t="str">
        <x:v>-</x:v>
      </x:c>
      <x:c r="D24" s="153" t="str">
        <x:v>F0</x:v>
      </x:c>
      <x:c r="E24" s="153" t="str">
        <x:v>Die Darstellung war sehr detailliert und strukturiert. Bei den Höhenmetern hatte ich Schwierigkeiten, aber nicht, weil sie nicht gut eingezeichnet waren sondern weil das vergleichen zueinander mir schwer gefallen ist</x:v>
      </x:c>
      <x:c r="F24" s="153" t="str">
        <x:v>H3</x:v>
      </x:c>
      <x:c r="G24" s="153" t="str">
        <x:v>S2</x:v>
      </x:c>
      <x:c r="H24" s="165" t="n">
        <x:v>0</x:v>
      </x:c>
      <x:c r="I24" s="165" t="n">
        <x:v>0</x:v>
      </x:c>
      <x:c r="J24" s="165" t="n">
        <x:v>1</x:v>
      </x:c>
      <x:c r="K24" s="165" t="n">
        <x:v>0</x:v>
      </x:c>
      <x:c r="L24" s="165" t="n">
        <x:v>0</x:v>
      </x:c>
      <x:c r="M24" s="165" t="n">
        <x:v>0</x:v>
      </x:c>
      <x:c r="N24" s="165" t="n">
        <x:v>0</x:v>
      </x:c>
      <x:c r="O24" s="165" t="n">
        <x:v>0</x:v>
      </x:c>
      <x:c r="P24" s="165" t="n">
        <x:v>1</x:v>
      </x:c>
      <x:c r="Q24" s="165" t="n">
        <x:v>0</x:v>
      </x:c>
      <x:c r="R24" s="165" t="n">
        <x:v>0</x:v>
      </x:c>
      <x:c r="S24" s="165" t="n">
        <x:v>0</x:v>
      </x:c>
      <x:c r="T24" s="165" t="n">
        <x:v>0</x:v>
      </x:c>
      <x:c r="U24" s="165" t="n">
        <x:v>1</x:v>
      </x:c>
      <x:c r="V24" s="165" t="n">
        <x:v>0</x:v>
      </x:c>
      <x:c r="W24" s="165" t="n">
        <x:v>0</x:v>
      </x:c>
      <x:c r="X24" s="165" t="n">
        <x:v>0</x:v>
      </x:c>
      <x:c r="Y24" s="165" t="n">
        <x:v>0</x:v>
      </x:c>
      <x:c r="Z24" s="165" t="n">
        <x:v>0</x:v>
      </x:c>
      <x:c r="AA24" s="165" t="n">
        <x:v>0</x:v>
      </x:c>
      <x:c r="AB24" s="165" t="n">
        <x:v>0</x:v>
      </x:c>
    </x:row>
    <x:row r="25">
      <x:c r="A25" s="153" t="n">
        <x:v>258</x:v>
      </x:c>
      <x:c r="B25" s="153" t="str">
        <x:v>Lageplan</x:v>
      </x:c>
      <x:c r="C25" s="153" t="str">
        <x:v>Nein</x:v>
      </x:c>
      <x:c r="D25" s="153" t="str">
        <x:v>F0</x:v>
      </x:c>
      <x:c r="E25" s="153" t="str">
        <x:v>Gefehlt hat mir persönlich eine Legende direkt auf der Darstellung (Plakat). Mir hat es geholfen, mir die Lage räumlich in Gedanken vorzustellen.</x:v>
      </x:c>
      <x:c r="F25" s="153" t="str">
        <x:v>H7</x:v>
      </x:c>
      <x:c r="G25" s="153" t="str">
        <x:v>S3</x:v>
      </x:c>
      <x:c r="H25" s="165" t="n">
        <x:v>0</x:v>
      </x:c>
      <x:c r="I25" s="165" t="n">
        <x:v>0</x:v>
      </x:c>
      <x:c r="J25" s="165" t="n">
        <x:v>0</x:v>
      </x:c>
      <x:c r="K25" s="165" t="n">
        <x:v>0</x:v>
      </x:c>
      <x:c r="L25" s="165" t="n">
        <x:v>0</x:v>
      </x:c>
      <x:c r="M25" s="165" t="n">
        <x:v>0</x:v>
      </x:c>
      <x:c r="N25" s="165" t="n">
        <x:v>1</x:v>
      </x:c>
      <x:c r="O25" s="165" t="n">
        <x:v>0</x:v>
      </x:c>
      <x:c r="P25" s="165" t="n">
        <x:v>0</x:v>
      </x:c>
      <x:c r="Q25" s="165" t="n">
        <x:v>1</x:v>
      </x:c>
      <x:c r="R25" s="165" t="n">
        <x:v>0</x:v>
      </x:c>
      <x:c r="S25" s="165" t="n">
        <x:v>0</x:v>
      </x:c>
      <x:c r="T25" s="165" t="n">
        <x:v>0</x:v>
      </x:c>
      <x:c r="U25" s="165" t="n">
        <x:v>1</x:v>
      </x:c>
      <x:c r="V25" s="165" t="n">
        <x:v>0</x:v>
      </x:c>
      <x:c r="W25" s="165" t="n">
        <x:v>0</x:v>
      </x:c>
      <x:c r="X25" s="165" t="n">
        <x:v>0</x:v>
      </x:c>
      <x:c r="Y25" s="165" t="n">
        <x:v>0</x:v>
      </x:c>
      <x:c r="Z25" s="165" t="n">
        <x:v>0</x:v>
      </x:c>
      <x:c r="AA25" s="165" t="n">
        <x:v>0</x:v>
      </x:c>
      <x:c r="AB25" s="165" t="n">
        <x:v>0</x:v>
      </x:c>
    </x:row>
    <x:row r="26">
      <x:c r="A26" s="153" t="n">
        <x:v>259</x:v>
      </x:c>
      <x:c r="B26" s="153" t="str">
        <x:v>Lageplan</x:v>
      </x:c>
      <x:c r="C26" s="153" t="str">
        <x:v>nein</x:v>
      </x:c>
      <x:c r="D26" s="153" t="str">
        <x:v>F0</x:v>
      </x:c>
      <x:c r="E26" s="153" t="str">
        <x:v>geholfen hat die Beschriftung der Anlagenteile. die entfernungseinsctzung war auf Grund nicht ersichtlicher Längenangaben geraten/geschätzt</x:v>
      </x:c>
      <x:c r="F26" s="153" t="str">
        <x:v>H1</x:v>
      </x:c>
      <x:c r="G26" s="153" t="str">
        <x:v>S1</x:v>
      </x:c>
      <x:c r="H26" s="165" t="n">
        <x:v>1</x:v>
      </x:c>
      <x:c r="I26" s="165" t="n">
        <x:v>0</x:v>
      </x:c>
      <x:c r="J26" s="165" t="n">
        <x:v>0</x:v>
      </x:c>
      <x:c r="K26" s="165" t="n">
        <x:v>0</x:v>
      </x:c>
      <x:c r="L26" s="165" t="n">
        <x:v>0</x:v>
      </x:c>
      <x:c r="M26" s="165" t="n">
        <x:v>0</x:v>
      </x:c>
      <x:c r="N26" s="165" t="n">
        <x:v>0</x:v>
      </x:c>
      <x:c r="O26" s="165" t="n">
        <x:v>1</x:v>
      </x:c>
      <x:c r="P26" s="165" t="n">
        <x:v>0</x:v>
      </x:c>
      <x:c r="Q26" s="165" t="n">
        <x:v>0</x:v>
      </x:c>
      <x:c r="R26" s="165" t="n">
        <x:v>0</x:v>
      </x:c>
      <x:c r="S26" s="165" t="n">
        <x:v>0</x:v>
      </x:c>
      <x:c r="T26" s="165" t="n">
        <x:v>0</x:v>
      </x:c>
      <x:c r="U26" s="165" t="n">
        <x:v>1</x:v>
      </x:c>
      <x:c r="V26" s="165" t="n">
        <x:v>0</x:v>
      </x:c>
      <x:c r="W26" s="165" t="n">
        <x:v>0</x:v>
      </x:c>
      <x:c r="X26" s="165" t="n">
        <x:v>0</x:v>
      </x:c>
      <x:c r="Y26" s="165" t="n">
        <x:v>0</x:v>
      </x:c>
      <x:c r="Z26" s="165" t="n">
        <x:v>0</x:v>
      </x:c>
      <x:c r="AA26" s="165" t="n">
        <x:v>0</x:v>
      </x:c>
      <x:c r="AB26" s="165" t="n">
        <x:v>0</x:v>
      </x:c>
    </x:row>
    <x:row r="27">
      <x:c r="A27" s="153" t="n">
        <x:v>262</x:v>
      </x:c>
      <x:c r="B27" s="153" t="str">
        <x:v>Physisches 3D-Modell</x:v>
      </x:c>
      <x:c r="C27" s="153" t="str">
        <x:v>Nein</x:v>
      </x:c>
      <x:c r="D27" s="153" t="str">
        <x:v>F0</x:v>
      </x:c>
      <x:c r="E27" s="153" t="str">
        <x:v>Höhenunterschiede durch verschiedene oberflächenstrukturen einzuschätzen ist schwieriger als wenn es ein offensichtlicher Höhenunterschied ist. Gut war, das sich die Fragen auf einen zentralen Bereich beschränkt haben</x:v>
      </x:c>
      <x:c r="F27" s="153" t="str">
        <x:v>H3</x:v>
      </x:c>
      <x:c r="G27" s="153" t="str">
        <x:v>S2</x:v>
      </x:c>
      <x:c r="H27" s="165" t="n">
        <x:v>0</x:v>
      </x:c>
      <x:c r="I27" s="165" t="n">
        <x:v>0</x:v>
      </x:c>
      <x:c r="J27" s="165" t="n">
        <x:v>1</x:v>
      </x:c>
      <x:c r="K27" s="165" t="n">
        <x:v>0</x:v>
      </x:c>
      <x:c r="L27" s="165" t="n">
        <x:v>0</x:v>
      </x:c>
      <x:c r="M27" s="165" t="n">
        <x:v>0</x:v>
      </x:c>
      <x:c r="N27" s="165" t="n">
        <x:v>0</x:v>
      </x:c>
      <x:c r="O27" s="165" t="n">
        <x:v>0</x:v>
      </x:c>
      <x:c r="P27" s="165" t="n">
        <x:v>1</x:v>
      </x:c>
      <x:c r="Q27" s="165" t="n">
        <x:v>0</x:v>
      </x:c>
      <x:c r="R27" s="165" t="n">
        <x:v>0</x:v>
      </x:c>
      <x:c r="S27" s="165" t="n">
        <x:v>0</x:v>
      </x:c>
      <x:c r="T27" s="165" t="n">
        <x:v>0</x:v>
      </x:c>
      <x:c r="U27" s="165" t="n">
        <x:v>1</x:v>
      </x:c>
      <x:c r="V27" s="165" t="n">
        <x:v>0</x:v>
      </x:c>
      <x:c r="W27" s="165" t="n">
        <x:v>0</x:v>
      </x:c>
      <x:c r="X27" s="165" t="n">
        <x:v>0</x:v>
      </x:c>
      <x:c r="Y27" s="165" t="n">
        <x:v>0</x:v>
      </x:c>
      <x:c r="Z27" s="165" t="n">
        <x:v>0</x:v>
      </x:c>
      <x:c r="AA27" s="165" t="n">
        <x:v>0</x:v>
      </x:c>
      <x:c r="AB27" s="165" t="n">
        <x:v>0</x:v>
      </x:c>
    </x:row>
    <x:row r="28">
      <x:c r="A28" s="153" t="n">
        <x:v>263</x:v>
      </x:c>
      <x:c r="B28" s="153" t="str">
        <x:v>Physisches 3D-Modell</x:v>
      </x:c>
      <x:c r="C28" s="153"/>
      <x:c r="D28" s="153"/>
      <x:c r="E28" s="153" t="str">
        <x:v>Das Modell insgesamt hat mir sehr geholfen und auch die Markierungen waren sehr hilfreich.</x:v>
      </x:c>
      <x:c r="F28" s="153" t="str">
        <x:v>H1; H2</x:v>
      </x:c>
      <x:c r="G28" s="153"/>
      <x:c r="H28" s="165" t="n">
        <x:v>1</x:v>
      </x:c>
      <x:c r="I28" s="165" t="n">
        <x:v>1</x:v>
      </x:c>
      <x:c r="J28" s="165" t="n">
        <x:v>0</x:v>
      </x:c>
      <x:c r="K28" s="165" t="n">
        <x:v>0</x:v>
      </x:c>
      <x:c r="L28" s="165" t="n">
        <x:v>0</x:v>
      </x:c>
      <x:c r="M28" s="165" t="n">
        <x:v>0</x:v>
      </x:c>
      <x:c r="N28" s="165" t="n">
        <x:v>0</x:v>
      </x:c>
      <x:c r="O28" s="165" t="n">
        <x:v>0</x:v>
      </x:c>
      <x:c r="P28" s="165" t="n">
        <x:v>0</x:v>
      </x:c>
      <x:c r="Q28" s="165" t="n">
        <x:v>0</x:v>
      </x:c>
      <x:c r="R28" s="165" t="n">
        <x:v>0</x:v>
      </x:c>
      <x:c r="S28" s="165" t="n">
        <x:v>0</x:v>
      </x:c>
      <x:c r="T28" s="165" t="n">
        <x:v>0</x:v>
      </x:c>
      <x:c r="U28" s="165" t="n">
        <x:v>0</x:v>
      </x:c>
      <x:c r="V28" s="165" t="n">
        <x:v>0</x:v>
      </x:c>
      <x:c r="W28" s="165" t="n">
        <x:v>0</x:v>
      </x:c>
      <x:c r="X28" s="165" t="n">
        <x:v>0</x:v>
      </x:c>
      <x:c r="Y28" s="165" t="n">
        <x:v>0</x:v>
      </x:c>
      <x:c r="Z28" s="165" t="n">
        <x:v>0</x:v>
      </x:c>
      <x:c r="AA28" s="165" t="n">
        <x:v>0</x:v>
      </x:c>
      <x:c r="AB28" s="165" t="n">
        <x:v>0</x:v>
      </x:c>
    </x:row>
    <x:row r="29">
      <x:c r="A29" s="153" t="n">
        <x:v>264</x:v>
      </x:c>
      <x:c r="B29" s="153" t="str">
        <x:v>Physisches 3D-Modell</x:v>
      </x:c>
      <x:c r="C29" s="153" t="str">
        <x:v>Nope, viel Erfolg {EM_UPSIDEDOWN_FACE}{EM_SLIGHTLY_SMILING_FACE}{EM_UPSIDEDOWN_FACE}{EM_SLIGHTLY_SMILING_FACE}{EM_UPSIDEDOWN_FACE}{EM_SLIGHTLY_SMILING_FACE}{EM_UPSIDEDOWN_FACE}</x:v>
      </x:c>
      <x:c r="D29" s="153" t="str">
        <x:v>F0</x:v>
      </x:c>
      <x:c r="E29" s="153" t="str">
        <x:v>Zu versuchen mir den Ort als reale Umgebung vorzustellen. Ob diese dabei realistisch ist, sei natürlich dahingestellt.</x:v>
      </x:c>
      <x:c r="F29" s="153" t="str">
        <x:v>H7</x:v>
      </x:c>
      <x:c r="G29" s="153"/>
      <x:c r="H29" s="165" t="n">
        <x:v>0</x:v>
      </x:c>
      <x:c r="I29" s="165" t="n">
        <x:v>0</x:v>
      </x:c>
      <x:c r="J29" s="165" t="n">
        <x:v>0</x:v>
      </x:c>
      <x:c r="K29" s="165" t="n">
        <x:v>0</x:v>
      </x:c>
      <x:c r="L29" s="165" t="n">
        <x:v>0</x:v>
      </x:c>
      <x:c r="M29" s="165" t="n">
        <x:v>0</x:v>
      </x:c>
      <x:c r="N29" s="165" t="n">
        <x:v>1</x:v>
      </x:c>
      <x:c r="O29" s="165" t="n">
        <x:v>0</x:v>
      </x:c>
      <x:c r="P29" s="165" t="n">
        <x:v>0</x:v>
      </x:c>
      <x:c r="Q29" s="165" t="n">
        <x:v>0</x:v>
      </x:c>
      <x:c r="R29" s="165" t="n">
        <x:v>0</x:v>
      </x:c>
      <x:c r="S29" s="165" t="n">
        <x:v>0</x:v>
      </x:c>
      <x:c r="T29" s="165" t="n">
        <x:v>0</x:v>
      </x:c>
      <x:c r="U29" s="165" t="n">
        <x:v>1</x:v>
      </x:c>
      <x:c r="V29" s="165" t="n">
        <x:v>0</x:v>
      </x:c>
      <x:c r="W29" s="165" t="n">
        <x:v>0</x:v>
      </x:c>
      <x:c r="X29" s="165" t="n">
        <x:v>0</x:v>
      </x:c>
      <x:c r="Y29" s="165" t="n">
        <x:v>0</x:v>
      </x:c>
      <x:c r="Z29" s="165" t="n">
        <x:v>0</x:v>
      </x:c>
      <x:c r="AA29" s="165" t="n">
        <x:v>0</x:v>
      </x:c>
      <x:c r="AB29" s="165" t="n">
        <x:v>0</x:v>
      </x:c>
    </x:row>
    <x:row r="30">
      <x:c r="A30" s="153" t="n">
        <x:v>265</x:v>
      </x:c>
      <x:c r="B30" s="153" t="str">
        <x:v>Physisches 3D-Modell</x:v>
      </x:c>
      <x:c r="C30" s="153"/>
      <x:c r="D30" s="153"/>
      <x:c r="E30" s="153"/>
      <x:c r="F30" s="153"/>
      <x:c r="G30" s="153"/>
      <x:c r="H30" s="165" t="n">
        <x:v>0</x:v>
      </x:c>
      <x:c r="I30" s="165" t="n">
        <x:v>0</x:v>
      </x:c>
      <x:c r="J30" s="165" t="n">
        <x:v>0</x:v>
      </x:c>
      <x:c r="K30" s="165" t="n">
        <x:v>0</x:v>
      </x:c>
      <x:c r="L30" s="165" t="n">
        <x:v>0</x:v>
      </x:c>
      <x:c r="M30" s="165" t="n">
        <x:v>0</x:v>
      </x:c>
      <x:c r="N30" s="165" t="n">
        <x:v>0</x:v>
      </x:c>
      <x:c r="O30" s="165" t="n">
        <x:v>0</x:v>
      </x:c>
      <x:c r="P30" s="165" t="n">
        <x:v>0</x:v>
      </x:c>
      <x:c r="Q30" s="165" t="n">
        <x:v>0</x:v>
      </x:c>
      <x:c r="R30" s="165" t="n">
        <x:v>0</x:v>
      </x:c>
      <x:c r="S30" s="165" t="n">
        <x:v>0</x:v>
      </x:c>
      <x:c r="T30" s="165" t="n">
        <x:v>0</x:v>
      </x:c>
      <x:c r="U30" s="165" t="n">
        <x:v>0</x:v>
      </x:c>
      <x:c r="V30" s="165" t="n">
        <x:v>0</x:v>
      </x:c>
      <x:c r="W30" s="165" t="n">
        <x:v>0</x:v>
      </x:c>
      <x:c r="X30" s="165" t="n">
        <x:v>0</x:v>
      </x:c>
      <x:c r="Y30" s="165" t="n">
        <x:v>0</x:v>
      </x:c>
      <x:c r="Z30" s="165" t="n">
        <x:v>0</x:v>
      </x:c>
      <x:c r="AA30" s="165" t="n">
        <x:v>0</x:v>
      </x:c>
      <x:c r="AB30" s="165" t="n">
        <x:v>0</x:v>
      </x:c>
    </x:row>
    <x:row r="31">
      <x:c r="A31" s="153" t="n">
        <x:v>266</x:v>
      </x:c>
      <x:c r="B31" s="153" t="str">
        <x:v>Physisches 3D-Modell</x:v>
      </x:c>
      <x:c r="C31" s="153" t="str">
        <x:v>Alles klar.</x:v>
      </x:c>
      <x:c r="D31" s="153" t="str">
        <x:v>F0</x:v>
      </x:c>
      <x:c r="E31" s="153" t="str">
        <x:v>Die Buchstaben zu finden. Aber war gut zu erkennen eigentlich weil das Modell selbst nicht farbig ist.</x:v>
      </x:c>
      <x:c r="F31" s="153" t="str">
        <x:v>H1</x:v>
      </x:c>
      <x:c r="G31" s="153"/>
      <x:c r="H31" s="165" t="n">
        <x:v>1</x:v>
      </x:c>
      <x:c r="I31" s="165" t="n">
        <x:v>0</x:v>
      </x:c>
      <x:c r="J31" s="165" t="n">
        <x:v>0</x:v>
      </x:c>
      <x:c r="K31" s="165" t="n">
        <x:v>0</x:v>
      </x:c>
      <x:c r="L31" s="165" t="n">
        <x:v>0</x:v>
      </x:c>
      <x:c r="M31" s="165" t="n">
        <x:v>0</x:v>
      </x:c>
      <x:c r="N31" s="165" t="n">
        <x:v>0</x:v>
      </x:c>
      <x:c r="O31" s="165" t="n">
        <x:v>0</x:v>
      </x:c>
      <x:c r="P31" s="165" t="n">
        <x:v>0</x:v>
      </x:c>
      <x:c r="Q31" s="165" t="n">
        <x:v>0</x:v>
      </x:c>
      <x:c r="R31" s="165" t="n">
        <x:v>0</x:v>
      </x:c>
      <x:c r="S31" s="165" t="n">
        <x:v>0</x:v>
      </x:c>
      <x:c r="T31" s="165" t="n">
        <x:v>0</x:v>
      </x:c>
      <x:c r="U31" s="165" t="n">
        <x:v>1</x:v>
      </x:c>
      <x:c r="V31" s="165" t="n">
        <x:v>0</x:v>
      </x:c>
      <x:c r="W31" s="165" t="n">
        <x:v>0</x:v>
      </x:c>
      <x:c r="X31" s="165" t="n">
        <x:v>0</x:v>
      </x:c>
      <x:c r="Y31" s="165" t="n">
        <x:v>0</x:v>
      </x:c>
      <x:c r="Z31" s="165" t="n">
        <x:v>0</x:v>
      </x:c>
      <x:c r="AA31" s="165" t="n">
        <x:v>0</x:v>
      </x:c>
      <x:c r="AB31" s="165" t="n">
        <x:v>0</x:v>
      </x:c>
    </x:row>
    <x:row r="32">
      <x:c r="A32" s="153" t="n">
        <x:v>271</x:v>
      </x:c>
      <x:c r="B32" s="153" t="str">
        <x:v>Digitales 3D-Modell</x:v>
      </x:c>
      <x:c r="C32" s="153"/>
      <x:c r="D32" s="153"/>
      <x:c r="E32" s="153"/>
      <x:c r="F32" s="153"/>
      <x:c r="G32" s="153"/>
      <x:c r="H32" s="165" t="n">
        <x:v>0</x:v>
      </x:c>
      <x:c r="I32" s="165" t="n">
        <x:v>0</x:v>
      </x:c>
      <x:c r="J32" s="165" t="n">
        <x:v>0</x:v>
      </x:c>
      <x:c r="K32" s="165" t="n">
        <x:v>0</x:v>
      </x:c>
      <x:c r="L32" s="165" t="n">
        <x:v>0</x:v>
      </x:c>
      <x:c r="M32" s="165" t="n">
        <x:v>0</x:v>
      </x:c>
      <x:c r="N32" s="165" t="n">
        <x:v>0</x:v>
      </x:c>
      <x:c r="O32" s="165" t="n">
        <x:v>0</x:v>
      </x:c>
      <x:c r="P32" s="165" t="n">
        <x:v>0</x:v>
      </x:c>
      <x:c r="Q32" s="165" t="n">
        <x:v>0</x:v>
      </x:c>
      <x:c r="R32" s="165" t="n">
        <x:v>0</x:v>
      </x:c>
      <x:c r="S32" s="165" t="n">
        <x:v>0</x:v>
      </x:c>
      <x:c r="T32" s="165" t="n">
        <x:v>0</x:v>
      </x:c>
      <x:c r="U32" s="165" t="n">
        <x:v>0</x:v>
      </x:c>
      <x:c r="V32" s="165" t="n">
        <x:v>0</x:v>
      </x:c>
      <x:c r="W32" s="165" t="n">
        <x:v>0</x:v>
      </x:c>
      <x:c r="X32" s="165" t="n">
        <x:v>0</x:v>
      </x:c>
      <x:c r="Y32" s="165" t="n">
        <x:v>0</x:v>
      </x:c>
      <x:c r="Z32" s="165" t="n">
        <x:v>0</x:v>
      </x:c>
      <x:c r="AA32" s="165" t="n">
        <x:v>0</x:v>
      </x:c>
      <x:c r="AB32" s="165" t="n">
        <x:v>0</x:v>
      </x:c>
    </x:row>
    <x:row r="33">
      <x:c r="A33" s="153" t="n">
        <x:v>272</x:v>
      </x:c>
      <x:c r="B33" s="153" t="str">
        <x:v>Digitales 3D-Modell</x:v>
      </x:c>
      <x:c r="C33" s="153"/>
      <x:c r="D33" s="153"/>
      <x:c r="E33" s="153" t="str">
        <x:v>Fehlender Maßstab</x:v>
      </x:c>
      <x:c r="F33" s="153"/>
      <x:c r="G33" s="153" t="str">
        <x:v>S1</x:v>
      </x:c>
      <x:c r="H33" s="165" t="n">
        <x:v>0</x:v>
      </x:c>
      <x:c r="I33" s="165" t="n">
        <x:v>0</x:v>
      </x:c>
      <x:c r="J33" s="165" t="n">
        <x:v>0</x:v>
      </x:c>
      <x:c r="K33" s="165" t="n">
        <x:v>0</x:v>
      </x:c>
      <x:c r="L33" s="165" t="n">
        <x:v>0</x:v>
      </x:c>
      <x:c r="M33" s="165" t="n">
        <x:v>0</x:v>
      </x:c>
      <x:c r="N33" s="165" t="n">
        <x:v>0</x:v>
      </x:c>
      <x:c r="O33" s="165" t="n">
        <x:v>1</x:v>
      </x:c>
      <x:c r="P33" s="165" t="n">
        <x:v>0</x:v>
      </x:c>
      <x:c r="Q33" s="165" t="n">
        <x:v>0</x:v>
      </x:c>
      <x:c r="R33" s="165" t="n">
        <x:v>0</x:v>
      </x:c>
      <x:c r="S33" s="165" t="n">
        <x:v>0</x:v>
      </x:c>
      <x:c r="T33" s="165" t="n">
        <x:v>0</x:v>
      </x:c>
      <x:c r="U33" s="165" t="n">
        <x:v>0</x:v>
      </x:c>
      <x:c r="V33" s="165" t="n">
        <x:v>0</x:v>
      </x:c>
      <x:c r="W33" s="165" t="n">
        <x:v>0</x:v>
      </x:c>
      <x:c r="X33" s="165" t="n">
        <x:v>0</x:v>
      </x:c>
      <x:c r="Y33" s="165" t="n">
        <x:v>0</x:v>
      </x:c>
      <x:c r="Z33" s="165" t="n">
        <x:v>0</x:v>
      </x:c>
      <x:c r="AA33" s="165" t="n">
        <x:v>0</x:v>
      </x:c>
      <x:c r="AB33" s="165" t="n">
        <x:v>0</x:v>
      </x:c>
    </x:row>
    <x:row r="34">
      <x:c r="A34" s="153" t="n">
        <x:v>273</x:v>
      </x:c>
      <x:c r="B34" s="153" t="str">
        <x:v>Digitales 3D-Modell</x:v>
      </x:c>
      <x:c r="C34" s="153"/>
      <x:c r="D34" s="153"/>
      <x:c r="E34" s="153" t="str">
        <x:v>Der Kompass hat geholfen, die 3D-Ansicht gegenüber einer 2D-Ansicht finde ich gut. Gefehlt hat ein Maßstab.</x:v>
      </x:c>
      <x:c r="F34" s="153" t="str">
        <x:v>H2; H4</x:v>
      </x:c>
      <x:c r="G34" s="153" t="str">
        <x:v>S1</x:v>
      </x:c>
      <x:c r="H34" s="165" t="n">
        <x:v>0</x:v>
      </x:c>
      <x:c r="I34" s="165" t="n">
        <x:v>1</x:v>
      </x:c>
      <x:c r="J34" s="165" t="n">
        <x:v>0</x:v>
      </x:c>
      <x:c r="K34" s="165" t="n">
        <x:v>1</x:v>
      </x:c>
      <x:c r="L34" s="165" t="n">
        <x:v>0</x:v>
      </x:c>
      <x:c r="M34" s="165" t="n">
        <x:v>0</x:v>
      </x:c>
      <x:c r="N34" s="165" t="n">
        <x:v>0</x:v>
      </x:c>
      <x:c r="O34" s="165" t="n">
        <x:v>1</x:v>
      </x:c>
      <x:c r="P34" s="165" t="n">
        <x:v>0</x:v>
      </x:c>
      <x:c r="Q34" s="165" t="n">
        <x:v>0</x:v>
      </x:c>
      <x:c r="R34" s="165" t="n">
        <x:v>0</x:v>
      </x:c>
      <x:c r="S34" s="165" t="n">
        <x:v>0</x:v>
      </x:c>
      <x:c r="T34" s="165" t="n">
        <x:v>0</x:v>
      </x:c>
      <x:c r="U34" s="165" t="n">
        <x:v>0</x:v>
      </x:c>
      <x:c r="V34" s="165" t="n">
        <x:v>0</x:v>
      </x:c>
      <x:c r="W34" s="165" t="n">
        <x:v>0</x:v>
      </x:c>
      <x:c r="X34" s="165" t="n">
        <x:v>0</x:v>
      </x:c>
      <x:c r="Y34" s="165" t="n">
        <x:v>0</x:v>
      </x:c>
      <x:c r="Z34" s="165" t="n">
        <x:v>0</x:v>
      </x:c>
      <x:c r="AA34" s="165" t="n">
        <x:v>0</x:v>
      </x:c>
      <x:c r="AB34" s="165" t="n">
        <x:v>0</x:v>
      </x:c>
    </x:row>
    <x:row r="35">
      <x:c r="A35" s="153" t="n">
        <x:v>275</x:v>
      </x:c>
      <x:c r="B35" s="153" t="str">
        <x:v>Digitales 3D-Modell</x:v>
      </x:c>
      <x:c r="C35" s="153" t="str">
        <x:v>Über die Höhe der Rosskastanie bin ich überrascht.</x:v>
      </x:c>
      <x:c r="D35" s="153" t="str">
        <x:v>F2</x:v>
      </x:c>
      <x:c r="E35" s="153" t="str">
        <x:v>Die Möglichkeit, der 3D-Schwenk- und -Zoom-Funktion war hilfreich (und auch erforderlich).
Den Maßstab, mit welchem man die Distanz ermitteln habe ich nicht finden können. Daher war ich gezwungen an Vergleichsmaßen (Stufenhöhe, -breite, Tür- und Torbreiten ein Vergleichsmaß zu nehmen und entsprechend abzuschätzen.
Da die Gebäude nicht ausgeblendet werden konnen, ist die Topographie-Frage aus meiner (tatsächlich) Sicht nicht zu beantworten gewesen. Orientiert habe ich mich hier nur an der Gefälletendenz der Außenkontur.</x:v>
      </x:c>
      <x:c r="F35" s="153" t="str">
        <x:v>H2</x:v>
      </x:c>
      <x:c r="G35" s="153" t="str">
        <x:v>S1; S2; S6</x:v>
      </x:c>
      <x:c r="H35" s="165" t="n">
        <x:v>0</x:v>
      </x:c>
      <x:c r="I35" s="165" t="n">
        <x:v>1</x:v>
      </x:c>
      <x:c r="J35" s="165" t="n">
        <x:v>0</x:v>
      </x:c>
      <x:c r="K35" s="165" t="n">
        <x:v>0</x:v>
      </x:c>
      <x:c r="L35" s="165" t="n">
        <x:v>0</x:v>
      </x:c>
      <x:c r="M35" s="165" t="n">
        <x:v>0</x:v>
      </x:c>
      <x:c r="N35" s="165" t="n">
        <x:v>0</x:v>
      </x:c>
      <x:c r="O35" s="165" t="n">
        <x:v>1</x:v>
      </x:c>
      <x:c r="P35" s="165" t="n">
        <x:v>1</x:v>
      </x:c>
      <x:c r="Q35" s="165" t="n">
        <x:v>0</x:v>
      </x:c>
      <x:c r="R35" s="165" t="n">
        <x:v>0</x:v>
      </x:c>
      <x:c r="S35" s="165" t="n">
        <x:v>0</x:v>
      </x:c>
      <x:c r="T35" s="165" t="n">
        <x:v>1</x:v>
      </x:c>
      <x:c r="U35" s="165" t="n">
        <x:v>0</x:v>
      </x:c>
      <x:c r="V35" s="165" t="n">
        <x:v>0</x:v>
      </x:c>
      <x:c r="W35" s="165" t="n">
        <x:v>1</x:v>
      </x:c>
      <x:c r="X35" s="165" t="n">
        <x:v>0</x:v>
      </x:c>
      <x:c r="Y35" s="165" t="n">
        <x:v>0</x:v>
      </x:c>
      <x:c r="Z35" s="165" t="n">
        <x:v>0</x:v>
      </x:c>
      <x:c r="AA35" s="165" t="n">
        <x:v>0</x:v>
      </x:c>
      <x:c r="AB35" s="165" t="n">
        <x:v>1</x:v>
      </x:c>
    </x:row>
    <x:row r="36">
      <x:c r="A36" s="153" t="n">
        <x:v>278</x:v>
      </x:c>
      <x:c r="B36" s="153" t="str">
        <x:v>Digitales 3D-Modell</x:v>
      </x:c>
      <x:c r="C36" s="153" t="str">
        <x:v>Nein</x:v>
      </x:c>
      <x:c r="D36" s="153" t="str">
        <x:v>F0</x:v>
      </x:c>
      <x:c r="E36" s="153" t="str">
        <x:v>- Kompass in der Ecke
- Kein Maßstab</x:v>
      </x:c>
      <x:c r="F36" s="153" t="str">
        <x:v>H4</x:v>
      </x:c>
      <x:c r="G36" s="153" t="str">
        <x:v>S1</x:v>
      </x:c>
      <x:c r="H36" s="165" t="n">
        <x:v>0</x:v>
      </x:c>
      <x:c r="I36" s="165" t="n">
        <x:v>0</x:v>
      </x:c>
      <x:c r="J36" s="165" t="n">
        <x:v>0</x:v>
      </x:c>
      <x:c r="K36" s="165" t="n">
        <x:v>1</x:v>
      </x:c>
      <x:c r="L36" s="165" t="n">
        <x:v>0</x:v>
      </x:c>
      <x:c r="M36" s="165" t="n">
        <x:v>0</x:v>
      </x:c>
      <x:c r="N36" s="165" t="n">
        <x:v>0</x:v>
      </x:c>
      <x:c r="O36" s="165" t="n">
        <x:v>1</x:v>
      </x:c>
      <x:c r="P36" s="165" t="n">
        <x:v>0</x:v>
      </x:c>
      <x:c r="Q36" s="165" t="n">
        <x:v>0</x:v>
      </x:c>
      <x:c r="R36" s="165" t="n">
        <x:v>0</x:v>
      </x:c>
      <x:c r="S36" s="165" t="n">
        <x:v>0</x:v>
      </x:c>
      <x:c r="T36" s="165" t="n">
        <x:v>0</x:v>
      </x:c>
      <x:c r="U36" s="165" t="n">
        <x:v>1</x:v>
      </x:c>
      <x:c r="V36" s="165" t="n">
        <x:v>0</x:v>
      </x:c>
      <x:c r="W36" s="165" t="n">
        <x:v>0</x:v>
      </x:c>
      <x:c r="X36" s="165" t="n">
        <x:v>0</x:v>
      </x:c>
      <x:c r="Y36" s="165" t="n">
        <x:v>0</x:v>
      </x:c>
      <x:c r="Z36" s="165" t="n">
        <x:v>0</x:v>
      </x:c>
      <x:c r="AA36" s="165" t="n">
        <x:v>0</x:v>
      </x:c>
      <x:c r="AB36" s="165" t="n">
        <x:v>0</x:v>
      </x:c>
    </x:row>
    <x:row r="37">
      <x:c r="A37" s="153" t="n">
        <x:v>282</x:v>
      </x:c>
      <x:c r="B37" s="153" t="str">
        <x:v>Digitales 3D-Modell</x:v>
      </x:c>
      <x:c r="C37" s="153" t="str">
        <x:v>Den Kompass hab ich erst zu spät entdeckt und ob 8 eine Brücke ist, war mir nicht klar weil der gesamte Untergrund die gleiche Farbe hat.</x:v>
      </x:c>
      <x:c r="D37" s="153" t="str">
        <x:v>F3; F4</x:v>
      </x:c>
      <x:c r="E37" s="153" t="str">
        <x:v>Geholfen hat mir das eigenständige Rotieren der Karte und die einzelnen beschrifteten Gebäude.
Schwierigkeiten bereitet hat mir, dass die Gebäude so eng zusammen stehen und die Beschriftungen nicht aus allen Winkeln erkennbar waren.</x:v>
      </x:c>
      <x:c r="F37" s="153" t="str">
        <x:v>H1; H2</x:v>
      </x:c>
      <x:c r="G37" s="153" t="str">
        <x:v>S3; S6</x:v>
      </x:c>
      <x:c r="H37" s="165" t="n">
        <x:v>1</x:v>
      </x:c>
      <x:c r="I37" s="165" t="n">
        <x:v>1</x:v>
      </x:c>
      <x:c r="J37" s="165" t="n">
        <x:v>0</x:v>
      </x:c>
      <x:c r="K37" s="165" t="n">
        <x:v>0</x:v>
      </x:c>
      <x:c r="L37" s="165" t="n">
        <x:v>0</x:v>
      </x:c>
      <x:c r="M37" s="165" t="n">
        <x:v>0</x:v>
      </x:c>
      <x:c r="N37" s="165" t="n">
        <x:v>0</x:v>
      </x:c>
      <x:c r="O37" s="165" t="n">
        <x:v>0</x:v>
      </x:c>
      <x:c r="P37" s="165" t="n">
        <x:v>0</x:v>
      </x:c>
      <x:c r="Q37" s="165" t="n">
        <x:v>1</x:v>
      </x:c>
      <x:c r="R37" s="165" t="n">
        <x:v>0</x:v>
      </x:c>
      <x:c r="S37" s="165" t="n">
        <x:v>0</x:v>
      </x:c>
      <x:c r="T37" s="165" t="n">
        <x:v>1</x:v>
      </x:c>
      <x:c r="U37" s="165" t="n">
        <x:v>0</x:v>
      </x:c>
      <x:c r="V37" s="165" t="n">
        <x:v>0</x:v>
      </x:c>
      <x:c r="W37" s="165" t="n">
        <x:v>0</x:v>
      </x:c>
      <x:c r="X37" s="165" t="n">
        <x:v>1</x:v>
      </x:c>
      <x:c r="Y37" s="165" t="n">
        <x:v>1</x:v>
      </x:c>
      <x:c r="Z37" s="165" t="n">
        <x:v>0</x:v>
      </x:c>
      <x:c r="AA37" s="165" t="n">
        <x:v>0</x:v>
      </x:c>
      <x:c r="AB37" s="165" t="n">
        <x:v>1</x:v>
      </x:c>
    </x:row>
    <x:row r="38">
      <x:c r="A38" s="153" t="n">
        <x:v>287</x:v>
      </x:c>
      <x:c r="B38" s="153" t="str">
        <x:v>Lageplan</x:v>
      </x:c>
      <x:c r="C38" s="153" t="str">
        <x:v>Nein</x:v>
      </x:c>
      <x:c r="D38" s="153" t="str">
        <x:v>F0</x:v>
      </x:c>
      <x:c r="E38" s="153" t="str">
        <x:v>Eine Legende hat gefehlt.</x:v>
      </x:c>
      <x:c r="F38" s="153"/>
      <x:c r="G38" s="153" t="str">
        <x:v>S3</x:v>
      </x:c>
      <x:c r="H38" s="165" t="n">
        <x:v>0</x:v>
      </x:c>
      <x:c r="I38" s="165" t="n">
        <x:v>0</x:v>
      </x:c>
      <x:c r="J38" s="165" t="n">
        <x:v>0</x:v>
      </x:c>
      <x:c r="K38" s="165" t="n">
        <x:v>0</x:v>
      </x:c>
      <x:c r="L38" s="165" t="n">
        <x:v>0</x:v>
      </x:c>
      <x:c r="M38" s="165" t="n">
        <x:v>0</x:v>
      </x:c>
      <x:c r="N38" s="165" t="n">
        <x:v>0</x:v>
      </x:c>
      <x:c r="O38" s="165" t="n">
        <x:v>0</x:v>
      </x:c>
      <x:c r="P38" s="165" t="n">
        <x:v>0</x:v>
      </x:c>
      <x:c r="Q38" s="165" t="n">
        <x:v>1</x:v>
      </x:c>
      <x:c r="R38" s="165" t="n">
        <x:v>0</x:v>
      </x:c>
      <x:c r="S38" s="165" t="n">
        <x:v>0</x:v>
      </x:c>
      <x:c r="T38" s="165" t="n">
        <x:v>0</x:v>
      </x:c>
      <x:c r="U38" s="165" t="n">
        <x:v>1</x:v>
      </x:c>
      <x:c r="V38" s="165" t="n">
        <x:v>0</x:v>
      </x:c>
      <x:c r="W38" s="165" t="n">
        <x:v>0</x:v>
      </x:c>
      <x:c r="X38" s="165" t="n">
        <x:v>0</x:v>
      </x:c>
      <x:c r="Y38" s="165" t="n">
        <x:v>0</x:v>
      </x:c>
      <x:c r="Z38" s="165" t="n">
        <x:v>0</x:v>
      </x:c>
      <x:c r="AA38" s="165" t="n">
        <x:v>0</x:v>
      </x:c>
      <x:c r="AB38" s="165" t="n">
        <x:v>0</x:v>
      </x:c>
    </x:row>
    <x:row r="39">
      <x:c r="A39" s="153" t="n">
        <x:v>290</x:v>
      </x:c>
      <x:c r="B39" s="153" t="str">
        <x:v>Digitales 3D-Modell</x:v>
      </x:c>
      <x:c r="C39" s="153"/>
      <x:c r="D39" s="153"/>
      <x:c r="E39" s="153" t="str">
        <x:v>Mir hat ein Maß gefehlt um den Abstand zu bestimmen.</x:v>
      </x:c>
      <x:c r="F39" s="153"/>
      <x:c r="G39" s="153" t="str">
        <x:v>S1</x:v>
      </x:c>
      <x:c r="H39" s="165" t="n">
        <x:v>0</x:v>
      </x:c>
      <x:c r="I39" s="165" t="n">
        <x:v>0</x:v>
      </x:c>
      <x:c r="J39" s="165" t="n">
        <x:v>0</x:v>
      </x:c>
      <x:c r="K39" s="165" t="n">
        <x:v>0</x:v>
      </x:c>
      <x:c r="L39" s="165" t="n">
        <x:v>0</x:v>
      </x:c>
      <x:c r="M39" s="165" t="n">
        <x:v>0</x:v>
      </x:c>
      <x:c r="N39" s="165" t="n">
        <x:v>0</x:v>
      </x:c>
      <x:c r="O39" s="165" t="n">
        <x:v>1</x:v>
      </x:c>
      <x:c r="P39" s="165" t="n">
        <x:v>0</x:v>
      </x:c>
      <x:c r="Q39" s="165" t="n">
        <x:v>0</x:v>
      </x:c>
      <x:c r="R39" s="165" t="n">
        <x:v>0</x:v>
      </x:c>
      <x:c r="S39" s="165" t="n">
        <x:v>0</x:v>
      </x:c>
      <x:c r="T39" s="165" t="n">
        <x:v>0</x:v>
      </x:c>
      <x:c r="U39" s="165" t="n">
        <x:v>0</x:v>
      </x:c>
      <x:c r="V39" s="165" t="n">
        <x:v>0</x:v>
      </x:c>
      <x:c r="W39" s="165" t="n">
        <x:v>0</x:v>
      </x:c>
      <x:c r="X39" s="165" t="n">
        <x:v>0</x:v>
      </x:c>
      <x:c r="Y39" s="165" t="n">
        <x:v>0</x:v>
      </x:c>
      <x:c r="Z39" s="165" t="n">
        <x:v>0</x:v>
      </x:c>
      <x:c r="AA39" s="165" t="n">
        <x:v>0</x:v>
      </x:c>
      <x:c r="AB39" s="165" t="n">
        <x:v>0</x:v>
      </x:c>
    </x:row>
    <x:row r="40">
      <x:c r="A40" s="153" t="n">
        <x:v>291</x:v>
      </x:c>
      <x:c r="B40" s="153" t="str">
        <x:v>Digitales 3D-Modell</x:v>
      </x:c>
      <x:c r="C40" s="153" t="str">
        <x:v>Nein</x:v>
      </x:c>
      <x:c r="D40" s="153" t="str">
        <x:v>F0</x:v>
      </x:c>
      <x:c r="E40" s="153" t="str">
        <x:v>3D Darstellung</x:v>
      </x:c>
      <x:c r="F40" s="153" t="str">
        <x:v>H2</x:v>
      </x:c>
      <x:c r="G40" s="153"/>
      <x:c r="H40" s="165" t="n">
        <x:v>0</x:v>
      </x:c>
      <x:c r="I40" s="165" t="n">
        <x:v>1</x:v>
      </x:c>
      <x:c r="J40" s="165" t="n">
        <x:v>0</x:v>
      </x:c>
      <x:c r="K40" s="165" t="n">
        <x:v>0</x:v>
      </x:c>
      <x:c r="L40" s="165" t="n">
        <x:v>0</x:v>
      </x:c>
      <x:c r="M40" s="165" t="n">
        <x:v>0</x:v>
      </x:c>
      <x:c r="N40" s="165" t="n">
        <x:v>0</x:v>
      </x:c>
      <x:c r="O40" s="165" t="n">
        <x:v>0</x:v>
      </x:c>
      <x:c r="P40" s="165" t="n">
        <x:v>0</x:v>
      </x:c>
      <x:c r="Q40" s="165" t="n">
        <x:v>0</x:v>
      </x:c>
      <x:c r="R40" s="165" t="n">
        <x:v>0</x:v>
      </x:c>
      <x:c r="S40" s="165" t="n">
        <x:v>0</x:v>
      </x:c>
      <x:c r="T40" s="165" t="n">
        <x:v>0</x:v>
      </x:c>
      <x:c r="U40" s="165" t="n">
        <x:v>1</x:v>
      </x:c>
      <x:c r="V40" s="165" t="n">
        <x:v>0</x:v>
      </x:c>
      <x:c r="W40" s="165" t="n">
        <x:v>0</x:v>
      </x:c>
      <x:c r="X40" s="165" t="n">
        <x:v>0</x:v>
      </x:c>
      <x:c r="Y40" s="165" t="n">
        <x:v>0</x:v>
      </x:c>
      <x:c r="Z40" s="165" t="n">
        <x:v>0</x:v>
      </x:c>
      <x:c r="AA40" s="165" t="n">
        <x:v>0</x:v>
      </x:c>
      <x:c r="AB40" s="165" t="n">
        <x:v>0</x:v>
      </x:c>
    </x:row>
    <x:row r="41">
      <x:c r="A41" s="153" t="n">
        <x:v>297</x:v>
      </x:c>
      <x:c r="B41" s="153" t="str">
        <x:v>Digitales 3D-Modell</x:v>
      </x:c>
      <x:c r="C41" s="153" t="str">
        <x:v>Nein</x:v>
      </x:c>
      <x:c r="D41" s="153" t="str">
        <x:v>F0</x:v>
      </x:c>
      <x:c r="E41" s="153" t="str">
        <x:v>Maßangaben haben mir gefehlt.</x:v>
      </x:c>
      <x:c r="F41" s="153"/>
      <x:c r="G41" s="153" t="str">
        <x:v>S1</x:v>
      </x:c>
      <x:c r="H41" s="165" t="n">
        <x:v>0</x:v>
      </x:c>
      <x:c r="I41" s="165" t="n">
        <x:v>0</x:v>
      </x:c>
      <x:c r="J41" s="165" t="n">
        <x:v>0</x:v>
      </x:c>
      <x:c r="K41" s="165" t="n">
        <x:v>0</x:v>
      </x:c>
      <x:c r="L41" s="165" t="n">
        <x:v>0</x:v>
      </x:c>
      <x:c r="M41" s="165" t="n">
        <x:v>0</x:v>
      </x:c>
      <x:c r="N41" s="165" t="n">
        <x:v>0</x:v>
      </x:c>
      <x:c r="O41" s="165" t="n">
        <x:v>1</x:v>
      </x:c>
      <x:c r="P41" s="165" t="n">
        <x:v>0</x:v>
      </x:c>
      <x:c r="Q41" s="165" t="n">
        <x:v>0</x:v>
      </x:c>
      <x:c r="R41" s="165" t="n">
        <x:v>0</x:v>
      </x:c>
      <x:c r="S41" s="165" t="n">
        <x:v>0</x:v>
      </x:c>
      <x:c r="T41" s="165" t="n">
        <x:v>0</x:v>
      </x:c>
      <x:c r="U41" s="165" t="n">
        <x:v>1</x:v>
      </x:c>
      <x:c r="V41" s="165" t="n">
        <x:v>0</x:v>
      </x:c>
      <x:c r="W41" s="165" t="n">
        <x:v>0</x:v>
      </x:c>
      <x:c r="X41" s="165" t="n">
        <x:v>0</x:v>
      </x:c>
      <x:c r="Y41" s="165" t="n">
        <x:v>0</x:v>
      </x:c>
      <x:c r="Z41" s="165" t="n">
        <x:v>0</x:v>
      </x:c>
      <x:c r="AA41" s="165" t="n">
        <x:v>0</x:v>
      </x:c>
      <x:c r="AB41" s="165" t="n">
        <x:v>0</x:v>
      </x:c>
    </x:row>
    <x:row r="42">
      <x:c r="A42" s="153" t="n">
        <x:v>298</x:v>
      </x:c>
      <x:c r="B42" s="153" t="str">
        <x:v>Digitales 3D-Modell</x:v>
      </x:c>
      <x:c r="C42" s="153"/>
      <x:c r="D42" s="153"/>
      <x:c r="E42" s="153"/>
      <x:c r="F42" s="153"/>
      <x:c r="G42" s="153"/>
      <x:c r="H42" s="165" t="n">
        <x:v>0</x:v>
      </x:c>
      <x:c r="I42" s="165" t="n">
        <x:v>0</x:v>
      </x:c>
      <x:c r="J42" s="165" t="n">
        <x:v>0</x:v>
      </x:c>
      <x:c r="K42" s="165" t="n">
        <x:v>0</x:v>
      </x:c>
      <x:c r="L42" s="165" t="n">
        <x:v>0</x:v>
      </x:c>
      <x:c r="M42" s="165" t="n">
        <x:v>0</x:v>
      </x:c>
      <x:c r="N42" s="165" t="n">
        <x:v>0</x:v>
      </x:c>
      <x:c r="O42" s="165" t="n">
        <x:v>0</x:v>
      </x:c>
      <x:c r="P42" s="165" t="n">
        <x:v>0</x:v>
      </x:c>
      <x:c r="Q42" s="165" t="n">
        <x:v>0</x:v>
      </x:c>
      <x:c r="R42" s="165" t="n">
        <x:v>0</x:v>
      </x:c>
      <x:c r="S42" s="165" t="n">
        <x:v>0</x:v>
      </x:c>
      <x:c r="T42" s="165" t="n">
        <x:v>0</x:v>
      </x:c>
      <x:c r="U42" s="165" t="n">
        <x:v>0</x:v>
      </x:c>
      <x:c r="V42" s="165" t="n">
        <x:v>0</x:v>
      </x:c>
      <x:c r="W42" s="165" t="n">
        <x:v>0</x:v>
      </x:c>
      <x:c r="X42" s="165" t="n">
        <x:v>0</x:v>
      </x:c>
      <x:c r="Y42" s="165" t="n">
        <x:v>0</x:v>
      </x:c>
      <x:c r="Z42" s="165" t="n">
        <x:v>0</x:v>
      </x:c>
      <x:c r="AA42" s="165" t="n">
        <x:v>0</x:v>
      </x:c>
      <x:c r="AB42" s="165" t="n">
        <x:v>0</x:v>
      </x:c>
    </x:row>
    <x:row r="43">
      <x:c r="A43" s="153" t="n">
        <x:v>299</x:v>
      </x:c>
      <x:c r="B43" s="153" t="str">
        <x:v>Lageplan</x:v>
      </x:c>
      <x:c r="C43" s="153" t="str">
        <x:v>Welches ist die Klostermauer? Was sind Straßen bzw. Wege?</x:v>
      </x:c>
      <x:c r="D43" s="153" t="str">
        <x:v>F3</x:v>
      </x:c>
      <x:c r="E43" s="153" t="str">
        <x:v>Farben</x:v>
      </x:c>
      <x:c r="F43" s="153" t="str">
        <x:v>H1</x:v>
      </x:c>
      <x:c r="G43" s="153"/>
      <x:c r="H43" s="165" t="n">
        <x:v>1</x:v>
      </x:c>
      <x:c r="I43" s="165" t="n">
        <x:v>0</x:v>
      </x:c>
      <x:c r="J43" s="165" t="n">
        <x:v>0</x:v>
      </x:c>
      <x:c r="K43" s="165" t="n">
        <x:v>0</x:v>
      </x:c>
      <x:c r="L43" s="165" t="n">
        <x:v>0</x:v>
      </x:c>
      <x:c r="M43" s="165" t="n">
        <x:v>0</x:v>
      </x:c>
      <x:c r="N43" s="165" t="n">
        <x:v>0</x:v>
      </x:c>
      <x:c r="O43" s="165" t="n">
        <x:v>0</x:v>
      </x:c>
      <x:c r="P43" s="165" t="n">
        <x:v>0</x:v>
      </x:c>
      <x:c r="Q43" s="165" t="n">
        <x:v>0</x:v>
      </x:c>
      <x:c r="R43" s="165" t="n">
        <x:v>0</x:v>
      </x:c>
      <x:c r="S43" s="165" t="n">
        <x:v>0</x:v>
      </x:c>
      <x:c r="T43" s="165" t="n">
        <x:v>0</x:v>
      </x:c>
      <x:c r="U43" s="165" t="n">
        <x:v>0</x:v>
      </x:c>
      <x:c r="V43" s="165" t="n">
        <x:v>0</x:v>
      </x:c>
      <x:c r="W43" s="165" t="n">
        <x:v>0</x:v>
      </x:c>
      <x:c r="X43" s="165" t="n">
        <x:v>1</x:v>
      </x:c>
      <x:c r="Y43" s="165" t="n">
        <x:v>0</x:v>
      </x:c>
      <x:c r="Z43" s="165" t="n">
        <x:v>0</x:v>
      </x:c>
      <x:c r="AA43" s="165" t="n">
        <x:v>0</x:v>
      </x:c>
      <x:c r="AB43" s="165" t="n">
        <x:v>1</x:v>
      </x:c>
    </x:row>
  </x:sheetData>
  <x:mergeCells>
    <x:mergeCell ref="A1:G1"/>
    <x:mergeCell ref="H1:AB1"/>
  </x:mergeCell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48" hidden="0" customWidth="1"/>
    <x:col min="3" max="3" width="16" hidden="0" customWidth="1"/>
    <x:col min="4" max="4" width="20" hidden="0" customWidth="1"/>
    <x:col min="5" max="5" width="22" hidden="0" customWidth="1"/>
    <x:col min="6" max="6" width="22" hidden="0" customWidth="1"/>
    <x:col min="7" max="7" width="42" hidden="0" customWidth="1"/>
  </x:cols>
  <x:sheetData>
    <x:row r="1">
      <x:c r="A1" s="154" t="str">
        <x:v>Qualitative Auswertung der offenen Fragen</x:v>
      </x:c>
      <x:c r="B1" s="154"/>
      <x:c r="C1" s="154"/>
      <x:c r="D1" s="154"/>
      <x:c r="E1" s="154"/>
      <x:c r="F1" s="154"/>
      <x:c r="G1" s="154"/>
    </x:row>
    <x:row r="2">
      <x:c r="A2" s="153"/>
      <x:c r="B2" s="153"/>
      <x:c r="C2" s="153"/>
      <x:c r="D2" s="153"/>
      <x:c r="E2" s="153"/>
      <x:c r="F2" s="153"/>
      <x:c r="G2" s="153"/>
    </x:row>
    <x:row r="3">
      <x:c r="A3" s="152" t="str">
        <x:v>Vorgehen: deskriptive qualitative Inhaltsanalyse mit induktiv gebildeten Kategorien. Eine Antwort kann mehrere Kategorien erhalten (Mehrfachkodierung); Häufigkeiten sind daher Nennungen von Personen und nicht gegenseitig ausschließend. Die Originaltexte bleiben im Blatt „Kodierung offene Fragen“ unverändert erhalten.</x:v>
      </x:c>
      <x:c r="B3" s="152"/>
      <x:c r="C3" s="152"/>
      <x:c r="D3" s="152"/>
      <x:c r="E3" s="152"/>
      <x:c r="F3" s="152"/>
      <x:c r="G3" s="152"/>
    </x:row>
    <x:row r="4">
      <x:c r="A4" s="153"/>
      <x:c r="B4" s="153"/>
      <x:c r="C4" s="153"/>
      <x:c r="D4" s="153"/>
      <x:c r="E4" s="153"/>
      <x:c r="F4" s="153"/>
      <x:c r="G4" s="153"/>
    </x:row>
    <x:row r="5">
      <x:c r="A5" s="155" t="str">
        <x:v>1. Antwortumfang</x:v>
      </x:c>
      <x:c r="B5" s="155"/>
      <x:c r="C5" s="155"/>
      <x:c r="D5" s="155"/>
      <x:c r="E5" s="155"/>
      <x:c r="F5" s="155"/>
      <x:c r="G5" s="155"/>
    </x:row>
    <x:row r="6">
      <x:c r="A6" s="156" t="str">
        <x:v>Frage / Kennzahl</x:v>
      </x:c>
      <x:c r="B6" s="156" t="str">
        <x:v>Lageplan</x:v>
      </x:c>
      <x:c r="C6" s="156" t="str">
        <x:v>Digitales 3D-Modell</x:v>
      </x:c>
      <x:c r="D6" s="156" t="str">
        <x:v>Physisches 3D-Modell</x:v>
      </x:c>
      <x:c r="E6" s="156" t="str">
        <x:v>Gesamtstichprobe</x:v>
      </x:c>
      <x:c r="F6" s="156" t="str">
        <x:v>Einordnung</x:v>
      </x:c>
      <x:c r="G6" s="156"/>
    </x:row>
    <x:row r="7">
      <x:c r="A7" s="153" t="str">
        <x:v>SV_OFFEN: Textantwort vorhanden</x:v>
      </x:c>
      <x:c r="B7" s="153" t="n">
        <x:f>COUNTIFS('Kodierung offene Fragen'!$B$4:$B$43,"Lageplan",'Kodierung offene Fragen'!$E$4:$E$43,"&lt;&gt;")</x:f>
        <x:v>9</x:v>
      </x:c>
      <x:c r="C7" s="153" t="n">
        <x:f>COUNTIFS('Kodierung offene Fragen'!$B$4:$B$43,"Digitales 3D-Modell",'Kodierung offene Fragen'!$E$4:$E$43,"&lt;&gt;")</x:f>
        <x:v>12</x:v>
      </x:c>
      <x:c r="D7" s="153" t="n">
        <x:f>COUNTIFS('Kodierung offene Fragen'!$B$4:$B$43,"Physisches 3D-Modell",'Kodierung offene Fragen'!$E$4:$E$43,"&lt;&gt;")</x:f>
        <x:v>11</x:v>
      </x:c>
      <x:c r="E7" s="153" t="n">
        <x:f>COUNTIF('Kodierung offene Fragen'!$E$4:$E$43,"&lt;&gt;")</x:f>
        <x:v>32</x:v>
      </x:c>
      <x:c r="F7" s="153" t="str">
        <x:v>Die Frage zu hilfreichen bzw. schwierigen Aspekten wurde von 32/40 Personen beantwortet.</x:v>
      </x:c>
      <x:c r="G7" s="153"/>
    </x:row>
    <x:row r="8">
      <x:c r="A8" s="153" t="str">
        <x:v>FEEDBACK_OFFEN: Textantwort vorhanden</x:v>
      </x:c>
      <x:c r="B8" s="153" t="n">
        <x:f>COUNTIFS('Kodierung offene Fragen'!$B$4:$B$43,"Lageplan",'Kodierung offene Fragen'!$C$4:$C$43,"&lt;&gt;")</x:f>
        <x:v>8</x:v>
      </x:c>
      <x:c r="C8" s="153" t="n">
        <x:f>COUNTIFS('Kodierung offene Fragen'!$B$4:$B$43,"Digitales 3D-Modell",'Kodierung offene Fragen'!$C$4:$C$43,"&lt;&gt;")</x:f>
        <x:v>8</x:v>
      </x:c>
      <x:c r="D8" s="153" t="n">
        <x:f>COUNTIFS('Kodierung offene Fragen'!$B$4:$B$43,"Physisches 3D-Modell",'Kodierung offene Fragen'!$C$4:$C$43,"&lt;&gt;")</x:f>
        <x:v>7</x:v>
      </x:c>
      <x:c r="E8" s="153" t="n">
        <x:f>COUNTIF('Kodierung offene Fragen'!$C$4:$C$43,"&lt;&gt;")</x:f>
        <x:v>23</x:v>
      </x:c>
      <x:c r="F8" s="153" t="str">
        <x:v>23/40 Personen machten eine Eingabe; davon waren 13 explizite „keine weiteren Hinweise“-Antworten.</x:v>
      </x:c>
      <x:c r="G8" s="153"/>
    </x:row>
    <x:row r="9">
      <x:c r="A9" s="153" t="str">
        <x:v>FEEDBACK_OFFEN: inhaltliche Rückmeldung (ohne „nein/ok/-“)</x:v>
      </x:c>
      <x:c r="B9" s="153" t="n">
        <x:f>SUMIFS('Kodierung offene Fragen'!$AB$4:$AB$43,'Kodierung offene Fragen'!$B$4:$B$43,"Lageplan")</x:f>
        <x:v>4</x:v>
      </x:c>
      <x:c r="C9" s="153" t="n">
        <x:f>SUMIFS('Kodierung offene Fragen'!$AB$4:$AB$43,'Kodierung offene Fragen'!$B$4:$B$43,"Digitales 3D-Modell")</x:f>
        <x:v>4</x:v>
      </x:c>
      <x:c r="D9" s="153" t="n">
        <x:f>SUMIFS('Kodierung offene Fragen'!$AB$4:$AB$43,'Kodierung offene Fragen'!$B$4:$B$43,"Physisches 3D-Modell")</x:f>
        <x:v>2</x:v>
      </x:c>
      <x:c r="E9" s="153" t="n">
        <x:f>SUM('Kodierung offene Fragen'!$AB$4:$AB$43)</x:f>
        <x:v>10</x:v>
      </x:c>
      <x:c r="F9" s="153" t="str">
        <x:v>10 Personen nannten tatsächlich einen zusätzlichen inhaltlichen Punkt.</x:v>
      </x:c>
      <x:c r="G9" s="153"/>
    </x:row>
    <x:row r="10">
      <x:c r="A10" s="153"/>
      <x:c r="B10" s="153"/>
      <x:c r="C10" s="153"/>
      <x:c r="D10" s="153"/>
      <x:c r="E10" s="153"/>
      <x:c r="F10" s="153"/>
      <x:c r="G10" s="153"/>
    </x:row>
    <x:row r="11">
      <x:c r="A11" s="153"/>
      <x:c r="B11" s="153"/>
      <x:c r="C11" s="153"/>
      <x:c r="D11" s="153"/>
      <x:c r="E11" s="153"/>
      <x:c r="F11" s="153"/>
      <x:c r="G11" s="153"/>
    </x:row>
    <x:row r="12">
      <x:c r="A12" s="155" t="str">
        <x:v>2. SV_OFFEN – Was hat geholfen?</x:v>
      </x:c>
      <x:c r="B12" s="155"/>
      <x:c r="C12" s="155"/>
      <x:c r="D12" s="155"/>
      <x:c r="E12" s="155"/>
      <x:c r="F12" s="155"/>
      <x:c r="G12" s="155"/>
    </x:row>
    <x:row r="13">
      <x:c r="A13" s="156" t="str">
        <x:v>Code</x:v>
      </x:c>
      <x:c r="B13" s="156" t="str">
        <x:v>Kategorie</x:v>
      </x:c>
      <x:c r="C13" s="156" t="str">
        <x:v>Lageplan</x:v>
      </x:c>
      <x:c r="D13" s="156" t="str">
        <x:v>Digitales 3D-Modell</x:v>
      </x:c>
      <x:c r="E13" s="156" t="str">
        <x:v>Physisches 3D-Modell</x:v>
      </x:c>
      <x:c r="F13" s="156" t="str">
        <x:v>Gesamtstichprobe</x:v>
      </x:c>
      <x:c r="G13" s="156" t="str">
        <x:v>Kurzinterpretation</x:v>
      </x:c>
    </x:row>
    <x:row r="14">
      <x:c r="A14" s="153" t="str">
        <x:v>H1</x:v>
      </x:c>
      <x:c r="B14" s="153" t="str">
        <x:v>Beschriftungen, Markierungen, Farben, visuelle Anhaltspunkte</x:v>
      </x:c>
      <x:c r="C14" s="153" t="n">
        <x:f>SUMIFS('Kodierung offene Fragen'!$H$4:$H$43,'Kodierung offene Fragen'!$B$4:$B$43,"Lageplan")</x:f>
        <x:v>6</x:v>
      </x:c>
      <x:c r="D14" s="153" t="n">
        <x:f>SUMIFS('Kodierung offene Fragen'!$H$4:$H$43,'Kodierung offene Fragen'!$B$4:$B$43,"Digitales 3D-Modell")</x:f>
        <x:v>2</x:v>
      </x:c>
      <x:c r="E14" s="153" t="n">
        <x:f>SUMIFS('Kodierung offene Fragen'!$H$4:$H$43,'Kodierung offene Fragen'!$B$4:$B$43,"Physisches 3D-Modell")</x:f>
        <x:v>4</x:v>
      </x:c>
      <x:c r="F14" s="153" t="n">
        <x:f>SUM('Kodierung offene Fragen'!$H$4:$H$43)</x:f>
        <x:v>12</x:v>
      </x:c>
      <x:c r="G14" s="153" t="str">
        <x:v>Besonders beim Lageplan häufig genannt.</x:v>
      </x:c>
    </x:row>
    <x:row r="15">
      <x:c r="A15" s="153" t="str">
        <x:v>H2</x:v>
      </x:c>
      <x:c r="B15" s="153" t="str">
        <x:v>3D-/plastische Darstellung und Interaktion</x:v>
      </x:c>
      <x:c r="C15" s="153" t="n">
        <x:f>SUMIFS('Kodierung offene Fragen'!$I$4:$I$43,'Kodierung offene Fragen'!$B$4:$B$43,"Lageplan")</x:f>
        <x:v>0</x:v>
      </x:c>
      <x:c r="D15" s="153" t="n">
        <x:f>SUMIFS('Kodierung offene Fragen'!$I$4:$I$43,'Kodierung offene Fragen'!$B$4:$B$43,"Digitales 3D-Modell")</x:f>
        <x:v>6</x:v>
      </x:c>
      <x:c r="E15" s="153" t="n">
        <x:f>SUMIFS('Kodierung offene Fragen'!$I$4:$I$43,'Kodierung offene Fragen'!$B$4:$B$43,"Physisches 3D-Modell")</x:f>
        <x:v>3</x:v>
      </x:c>
      <x:c r="F15" s="153" t="n">
        <x:f>SUM('Kodierung offene Fragen'!$I$4:$I$43)</x:f>
        <x:v>9</x:v>
      </x:c>
      <x:c r="G15" s="153" t="str">
        <x:v>Klarer Schwerpunkt beim digitalen 3D-Modell; beim physischen Modell ebenfalls genannt.</x:v>
      </x:c>
    </x:row>
    <x:row r="16">
      <x:c r="A16" s="153" t="str">
        <x:v>H3</x:v>
      </x:c>
      <x:c r="B16" s="153" t="str">
        <x:v>Struktur, Wege, Übersicht und Detaillierung</x:v>
      </x:c>
      <x:c r="C16" s="153" t="n">
        <x:f>SUMIFS('Kodierung offene Fragen'!$J$4:$J$43,'Kodierung offene Fragen'!$B$4:$B$43,"Lageplan")</x:f>
        <x:v>1</x:v>
      </x:c>
      <x:c r="D16" s="153" t="n">
        <x:f>SUMIFS('Kodierung offene Fragen'!$J$4:$J$43,'Kodierung offene Fragen'!$B$4:$B$43,"Digitales 3D-Modell")</x:f>
        <x:v>0</x:v>
      </x:c>
      <x:c r="E16" s="153" t="n">
        <x:f>SUMIFS('Kodierung offene Fragen'!$J$4:$J$43,'Kodierung offene Fragen'!$B$4:$B$43,"Physisches 3D-Modell")</x:f>
        <x:v>6</x:v>
      </x:c>
      <x:c r="F16" s="153" t="n">
        <x:f>SUM('Kodierung offene Fragen'!$J$4:$J$43)</x:f>
        <x:v>7</x:v>
      </x:c>
      <x:c r="G16" s="153" t="str">
        <x:v>Dominanter positiver Aspekt des physischen Modells.</x:v>
      </x:c>
    </x:row>
    <x:row r="17">
      <x:c r="A17" s="153" t="str">
        <x:v>H4</x:v>
      </x:c>
      <x:c r="B17" s="153" t="str">
        <x:v>Kompass / Himmelsrichtung</x:v>
      </x:c>
      <x:c r="C17" s="153" t="n">
        <x:f>SUMIFS('Kodierung offene Fragen'!$K$4:$K$43,'Kodierung offene Fragen'!$B$4:$B$43,"Lageplan")</x:f>
        <x:v>0</x:v>
      </x:c>
      <x:c r="D17" s="153" t="n">
        <x:f>SUMIFS('Kodierung offene Fragen'!$K$4:$K$43,'Kodierung offene Fragen'!$B$4:$B$43,"Digitales 3D-Modell")</x:f>
        <x:v>2</x:v>
      </x:c>
      <x:c r="E17" s="153" t="n">
        <x:f>SUMIFS('Kodierung offene Fragen'!$K$4:$K$43,'Kodierung offene Fragen'!$B$4:$B$43,"Physisches 3D-Modell")</x:f>
        <x:v>0</x:v>
      </x:c>
      <x:c r="F17" s="153" t="n">
        <x:f>SUM('Kodierung offene Fragen'!$K$4:$K$43)</x:f>
        <x:v>2</x:v>
      </x:c>
      <x:c r="G17" s="153" t="str">
        <x:v>Nur beim digitalen 3D-Modell explizit genannt.</x:v>
      </x:c>
    </x:row>
    <x:row r="18">
      <x:c r="A18" s="153" t="str">
        <x:v>H5</x:v>
      </x:c>
      <x:c r="B18" s="153" t="str">
        <x:v>Maßstab als Hilfe</x:v>
      </x:c>
      <x:c r="C18" s="153" t="n">
        <x:f>SUMIFS('Kodierung offene Fragen'!$L$4:$L$43,'Kodierung offene Fragen'!$B$4:$B$43,"Lageplan")</x:f>
        <x:v>0</x:v>
      </x:c>
      <x:c r="D18" s="153" t="n">
        <x:f>SUMIFS('Kodierung offene Fragen'!$L$4:$L$43,'Kodierung offene Fragen'!$B$4:$B$43,"Digitales 3D-Modell")</x:f>
        <x:v>0</x:v>
      </x:c>
      <x:c r="E18" s="153" t="n">
        <x:f>SUMIFS('Kodierung offene Fragen'!$L$4:$L$43,'Kodierung offene Fragen'!$B$4:$B$43,"Physisches 3D-Modell")</x:f>
        <x:v>1</x:v>
      </x:c>
      <x:c r="F18" s="153" t="n">
        <x:f>SUM('Kodierung offene Fragen'!$L$4:$L$43)</x:f>
        <x:v>1</x:v>
      </x:c>
      <x:c r="G18" s="153" t="str">
        <x:v>Einmal beim physischen Modell positiv genannt.</x:v>
      </x:c>
    </x:row>
    <x:row r="19">
      <x:c r="A19" s="153" t="str">
        <x:v>H6</x:v>
      </x:c>
      <x:c r="B19" s="153" t="str">
        <x:v>Erkennbare Höhenunterschiede</x:v>
      </x:c>
      <x:c r="C19" s="153" t="n">
        <x:f>SUMIFS('Kodierung offene Fragen'!$M$4:$M$43,'Kodierung offene Fragen'!$B$4:$B$43,"Lageplan")</x:f>
        <x:v>0</x:v>
      </x:c>
      <x:c r="D19" s="153" t="n">
        <x:f>SUMIFS('Kodierung offene Fragen'!$M$4:$M$43,'Kodierung offene Fragen'!$B$4:$B$43,"Digitales 3D-Modell")</x:f>
        <x:v>1</x:v>
      </x:c>
      <x:c r="E19" s="153" t="n">
        <x:f>SUMIFS('Kodierung offene Fragen'!$M$4:$M$43,'Kodierung offene Fragen'!$B$4:$B$43,"Physisches 3D-Modell")</x:f>
        <x:v>0</x:v>
      </x:c>
      <x:c r="F19" s="153" t="n">
        <x:f>SUM('Kodierung offene Fragen'!$M$4:$M$43)</x:f>
        <x:v>1</x:v>
      </x:c>
      <x:c r="G19" s="153" t="str">
        <x:v>Einmal beim digitalen Modell positiv erwähnt.</x:v>
      </x:c>
    </x:row>
    <x:row r="20">
      <x:c r="A20" s="153" t="str">
        <x:v>H7</x:v>
      </x:c>
      <x:c r="B20" s="153" t="str">
        <x:v>Mentale räumliche Vorstellung / reale Umgebung</x:v>
      </x:c>
      <x:c r="C20" s="153" t="n">
        <x:f>SUMIFS('Kodierung offene Fragen'!$N$4:$N$43,'Kodierung offene Fragen'!$B$4:$B$43,"Lageplan")</x:f>
        <x:v>1</x:v>
      </x:c>
      <x:c r="D20" s="153" t="n">
        <x:f>SUMIFS('Kodierung offene Fragen'!$N$4:$N$43,'Kodierung offene Fragen'!$B$4:$B$43,"Digitales 3D-Modell")</x:f>
        <x:v>0</x:v>
      </x:c>
      <x:c r="E20" s="153" t="n">
        <x:f>SUMIFS('Kodierung offene Fragen'!$N$4:$N$43,'Kodierung offene Fragen'!$B$4:$B$43,"Physisches 3D-Modell")</x:f>
        <x:v>1</x:v>
      </x:c>
      <x:c r="F20" s="153" t="n">
        <x:f>SUM('Kodierung offene Fragen'!$N$4:$N$43)</x:f>
        <x:v>2</x:v>
      </x:c>
      <x:c r="G20" s="153" t="str">
        <x:v>Je einmal beim Lageplan und physischen Modell genannt.</x:v>
      </x:c>
    </x:row>
    <x:row r="21">
      <x:c r="A21" s="153"/>
      <x:c r="B21" s="153"/>
      <x:c r="C21" s="153"/>
      <x:c r="D21" s="153"/>
      <x:c r="E21" s="153"/>
      <x:c r="F21" s="153"/>
      <x:c r="G21" s="153"/>
    </x:row>
    <x:row r="22">
      <x:c r="A22" s="153"/>
      <x:c r="B22" s="153"/>
      <x:c r="C22" s="153"/>
      <x:c r="D22" s="153"/>
      <x:c r="E22" s="153"/>
      <x:c r="F22" s="153"/>
      <x:c r="G22" s="153"/>
    </x:row>
    <x:row r="23">
      <x:c r="A23" s="155" t="str">
        <x:v>3. SV_OFFEN – Was war schwierig oder fehlte?</x:v>
      </x:c>
      <x:c r="B23" s="155"/>
      <x:c r="C23" s="155"/>
      <x:c r="D23" s="155"/>
      <x:c r="E23" s="155"/>
      <x:c r="F23" s="155"/>
      <x:c r="G23" s="155"/>
    </x:row>
    <x:row r="24">
      <x:c r="A24" s="156" t="str">
        <x:v>Code</x:v>
      </x:c>
      <x:c r="B24" s="156" t="str">
        <x:v>Kategorie</x:v>
      </x:c>
      <x:c r="C24" s="156" t="str">
        <x:v>Lageplan</x:v>
      </x:c>
      <x:c r="D24" s="156" t="str">
        <x:v>Digitales 3D-Modell</x:v>
      </x:c>
      <x:c r="E24" s="156" t="str">
        <x:v>Physisches 3D-Modell</x:v>
      </x:c>
      <x:c r="F24" s="156" t="str">
        <x:v>Gesamtstichprobe</x:v>
      </x:c>
      <x:c r="G24" s="156" t="str">
        <x:v>Kurzinterpretation</x:v>
      </x:c>
    </x:row>
    <x:row r="25">
      <x:c r="A25" s="153" t="str">
        <x:v>S1</x:v>
      </x:c>
      <x:c r="B25" s="153" t="str">
        <x:v>Maßstab, Distanz- oder Längenangaben</x:v>
      </x:c>
      <x:c r="C25" s="153" t="n">
        <x:f>SUMIFS('Kodierung offene Fragen'!$O$4:$O$43,'Kodierung offene Fragen'!$B$4:$B$43,"Lageplan")</x:f>
        <x:v>2</x:v>
      </x:c>
      <x:c r="D25" s="153" t="n">
        <x:f>SUMIFS('Kodierung offene Fragen'!$O$4:$O$43,'Kodierung offene Fragen'!$B$4:$B$43,"Digitales 3D-Modell")</x:f>
        <x:v>6</x:v>
      </x:c>
      <x:c r="E25" s="153" t="n">
        <x:f>SUMIFS('Kodierung offene Fragen'!$O$4:$O$43,'Kodierung offene Fragen'!$B$4:$B$43,"Physisches 3D-Modell")</x:f>
        <x:v>2</x:v>
      </x:c>
      <x:c r="F25" s="153" t="n">
        <x:v>10</x:v>
      </x:c>
      <x:c r="G25" s="153" t="str">
        <x:v>Häufigstes Problem in der Gesamtstichprobe; besonders stark beim digitalen 3D-Modell.</x:v>
      </x:c>
    </x:row>
    <x:row r="26">
      <x:c r="A26" s="153" t="str">
        <x:v>S2</x:v>
      </x:c>
      <x:c r="B26" s="153" t="str">
        <x:v>Höhe / Topografie</x:v>
      </x:c>
      <x:c r="C26" s="153" t="n">
        <x:f>SUMIFS('Kodierung offene Fragen'!$P$4:$P$43,'Kodierung offene Fragen'!$B$4:$B$43,"Lageplan")</x:f>
        <x:v>3</x:v>
      </x:c>
      <x:c r="D26" s="153" t="n">
        <x:f>SUMIFS('Kodierung offene Fragen'!$P$4:$P$43,'Kodierung offene Fragen'!$B$4:$B$43,"Digitales 3D-Modell")</x:f>
        <x:v>1</x:v>
      </x:c>
      <x:c r="E26" s="153" t="n">
        <x:f>SUMIFS('Kodierung offene Fragen'!$P$4:$P$43,'Kodierung offene Fragen'!$B$4:$B$43,"Physisches 3D-Modell")</x:f>
        <x:v>2</x:v>
      </x:c>
      <x:c r="F26" s="153" t="n">
        <x:f>SUM('Kodierung offene Fragen'!$P$4:$P$43)</x:f>
        <x:v>6</x:v>
      </x:c>
      <x:c r="G26" s="153" t="str">
        <x:v>Vor allem beim Lageplan; beim physischen Modell ebenfalls mehrfach erwähnt.</x:v>
      </x:c>
    </x:row>
    <x:row r="27">
      <x:c r="A27" s="153" t="str">
        <x:v>S3</x:v>
      </x:c>
      <x:c r="B27" s="153" t="str">
        <x:v>Legende, Beschriftung oder Lesbarkeit</x:v>
      </x:c>
      <x:c r="C27" s="153" t="n">
        <x:f>SUMIFS('Kodierung offene Fragen'!$Q$4:$Q$43,'Kodierung offene Fragen'!$B$4:$B$43,"Lageplan")</x:f>
        <x:v>3</x:v>
      </x:c>
      <x:c r="D27" s="153" t="n">
        <x:f>SUMIFS('Kodierung offene Fragen'!$Q$4:$Q$43,'Kodierung offene Fragen'!$B$4:$B$43,"Digitales 3D-Modell")</x:f>
        <x:v>1</x:v>
      </x:c>
      <x:c r="E27" s="153" t="n">
        <x:f>SUMIFS('Kodierung offene Fragen'!$Q$4:$Q$43,'Kodierung offene Fragen'!$B$4:$B$43,"Physisches 3D-Modell")</x:f>
        <x:v>0</x:v>
      </x:c>
      <x:c r="F27" s="153" t="n">
        <x:f>SUM('Kodierung offene Fragen'!$Q$4:$Q$43)</x:f>
        <x:v>4</x:v>
      </x:c>
      <x:c r="G27" s="153" t="str">
        <x:v>Vor allem beim Lageplan; digital zusätzlich Sichtbarkeit aus bestimmten Winkeln.</x:v>
      </x:c>
    </x:row>
    <x:row r="28">
      <x:c r="A28" s="153" t="str">
        <x:v>S4</x:v>
      </x:c>
      <x:c r="B28" s="153" t="str">
        <x:v>Blickrichtung / Himmelsrichtung</x:v>
      </x:c>
      <x:c r="C28" s="153" t="n">
        <x:f>SUMIFS('Kodierung offene Fragen'!$R$4:$R$43,'Kodierung offene Fragen'!$B$4:$B$43,"Lageplan")</x:f>
        <x:v>0</x:v>
      </x:c>
      <x:c r="D28" s="153" t="n">
        <x:f>SUMIFS('Kodierung offene Fragen'!$R$4:$R$43,'Kodierung offene Fragen'!$B$4:$B$43,"Digitales 3D-Modell")</x:f>
        <x:v>0</x:v>
      </x:c>
      <x:c r="E28" s="153" t="n">
        <x:f>SUMIFS('Kodierung offene Fragen'!$R$4:$R$43,'Kodierung offene Fragen'!$B$4:$B$43,"Physisches 3D-Modell")</x:f>
        <x:v>1</x:v>
      </x:c>
      <x:c r="F28" s="153" t="n">
        <x:f>SUM('Kodierung offene Fragen'!$R$4:$R$43)</x:f>
        <x:v>1</x:v>
      </x:c>
      <x:c r="G28" s="153" t="str">
        <x:v>Einmal beim physischen Modell genannt.</x:v>
      </x:c>
    </x:row>
    <x:row r="29">
      <x:c r="A29" s="153" t="str">
        <x:v>S5</x:v>
      </x:c>
      <x:c r="B29" s="153" t="str">
        <x:v>Fachbegriffe / fachliche Einordnung</x:v>
      </x:c>
      <x:c r="C29" s="153" t="n">
        <x:f>SUMIFS('Kodierung offene Fragen'!$S$4:$S$43,'Kodierung offene Fragen'!$B$4:$B$43,"Lageplan")</x:f>
        <x:v>0</x:v>
      </x:c>
      <x:c r="D29" s="153" t="n">
        <x:f>SUMIFS('Kodierung offene Fragen'!$S$4:$S$43,'Kodierung offene Fragen'!$B$4:$B$43,"Digitales 3D-Modell")</x:f>
        <x:v>0</x:v>
      </x:c>
      <x:c r="E29" s="153" t="n">
        <x:f>SUMIFS('Kodierung offene Fragen'!$S$4:$S$43,'Kodierung offene Fragen'!$B$4:$B$43,"Physisches 3D-Modell")</x:f>
        <x:v>1</x:v>
      </x:c>
      <x:c r="F29" s="153" t="n">
        <x:f>SUM('Kodierung offene Fragen'!$S$4:$S$43)</x:f>
        <x:v>1</x:v>
      </x:c>
      <x:c r="G29" s="153" t="str">
        <x:v>Einmal beim physischen Modell genannt.</x:v>
      </x:c>
    </x:row>
    <x:row r="30">
      <x:c r="A30" s="153" t="str">
        <x:v>S6</x:v>
      </x:c>
      <x:c r="B30" s="153" t="str">
        <x:v>Überlagerung / visuelle Unterscheidbarkeit</x:v>
      </x:c>
      <x:c r="C30" s="153" t="n">
        <x:f>SUMIFS('Kodierung offene Fragen'!$T$4:$T$43,'Kodierung offene Fragen'!$B$4:$B$43,"Lageplan")</x:f>
        <x:v>0</x:v>
      </x:c>
      <x:c r="D30" s="153" t="n">
        <x:f>SUMIFS('Kodierung offene Fragen'!$T$4:$T$43,'Kodierung offene Fragen'!$B$4:$B$43,"Digitales 3D-Modell")</x:f>
        <x:v>2</x:v>
      </x:c>
      <x:c r="E30" s="153" t="n">
        <x:f>SUMIFS('Kodierung offene Fragen'!$T$4:$T$43,'Kodierung offene Fragen'!$B$4:$B$43,"Physisches 3D-Modell")</x:f>
        <x:v>0</x:v>
      </x:c>
      <x:c r="F30" s="153" t="n">
        <x:f>SUM('Kodierung offene Fragen'!$T$4:$T$43)</x:f>
        <x:v>2</x:v>
      </x:c>
      <x:c r="G30" s="153" t="str">
        <x:v>Zweimal beim digitalen Modell, z. B. verdeckte Topografie oder Beschriftungen.</x:v>
      </x:c>
    </x:row>
    <x:row r="31">
      <x:c r="A31" s="153"/>
      <x:c r="B31" s="153"/>
      <x:c r="C31" s="153"/>
      <x:c r="D31" s="153"/>
      <x:c r="E31" s="153"/>
      <x:c r="F31" s="153"/>
      <x:c r="G31" s="153"/>
    </x:row>
    <x:row r="32">
      <x:c r="A32" s="153"/>
      <x:c r="B32" s="153"/>
      <x:c r="C32" s="153"/>
      <x:c r="D32" s="153"/>
      <x:c r="E32" s="153"/>
      <x:c r="F32" s="153"/>
      <x:c r="G32" s="153"/>
    </x:row>
    <x:row r="33">
      <x:c r="A33" s="155" t="str">
        <x:v>4. FEEDBACK_OFFEN – zusätzliche Hinweise</x:v>
      </x:c>
      <x:c r="B33" s="155"/>
      <x:c r="C33" s="155"/>
      <x:c r="D33" s="155"/>
      <x:c r="E33" s="155"/>
      <x:c r="F33" s="155"/>
      <x:c r="G33" s="155"/>
    </x:row>
    <x:row r="34">
      <x:c r="A34" s="156" t="str">
        <x:v>Code</x:v>
      </x:c>
      <x:c r="B34" s="156" t="str">
        <x:v>Kategorie</x:v>
      </x:c>
      <x:c r="C34" s="156" t="str">
        <x:v>Lageplan</x:v>
      </x:c>
      <x:c r="D34" s="156" t="str">
        <x:v>Digitales 3D-Modell</x:v>
      </x:c>
      <x:c r="E34" s="156" t="str">
        <x:v>Physisches 3D-Modell</x:v>
      </x:c>
      <x:c r="F34" s="156" t="str">
        <x:v>Gesamtstichprobe</x:v>
      </x:c>
      <x:c r="G34" s="156" t="str">
        <x:v>Einordnung</x:v>
      </x:c>
    </x:row>
    <x:row r="35">
      <x:c r="A35" s="153" t="str">
        <x:v>F0</x:v>
      </x:c>
      <x:c r="B35" s="153" t="str">
        <x:v>Explizit keine weiteren Hinweise / alles ok</x:v>
      </x:c>
      <x:c r="C35" s="153" t="n">
        <x:f>SUMIFS('Kodierung offene Fragen'!$U$4:$U$43,'Kodierung offene Fragen'!$B$4:$B$43,"Lageplan")</x:f>
        <x:v>4</x:v>
      </x:c>
      <x:c r="D35" s="153" t="n">
        <x:f>SUMIFS('Kodierung offene Fragen'!$U$4:$U$43,'Kodierung offene Fragen'!$B$4:$B$43,"Digitales 3D-Modell")</x:f>
        <x:v>4</x:v>
      </x:c>
      <x:c r="E35" s="153" t="n">
        <x:f>SUMIFS('Kodierung offene Fragen'!$U$4:$U$43,'Kodierung offene Fragen'!$B$4:$B$43,"Physisches 3D-Modell")</x:f>
        <x:v>5</x:v>
      </x:c>
      <x:c r="F35" s="153" t="n">
        <x:f>SUM('Kodierung offene Fragen'!$U$4:$U$43)</x:f>
        <x:v>13</x:v>
      </x:c>
      <x:c r="G35" s="153" t="str">
        <x:v>Diese Antworten sind inhaltlich neutral und werden nicht als Problemhinweis interpretiert.</x:v>
      </x:c>
    </x:row>
    <x:row r="36">
      <x:c r="A36" s="153" t="str">
        <x:v>F1</x:v>
      </x:c>
      <x:c r="B36" s="153" t="str">
        <x:v>Maßstab / Entfernung / Größenangaben</x:v>
      </x:c>
      <x:c r="C36" s="153" t="n">
        <x:f>SUMIFS('Kodierung offene Fragen'!$V$4:$V$43,'Kodierung offene Fragen'!$B$4:$B$43,"Lageplan")</x:f>
        <x:v>2</x:v>
      </x:c>
      <x:c r="D36" s="153" t="n">
        <x:f>SUMIFS('Kodierung offene Fragen'!$V$4:$V$43,'Kodierung offene Fragen'!$B$4:$B$43,"Digitales 3D-Modell")</x:f>
        <x:v>1</x:v>
      </x:c>
      <x:c r="E36" s="153" t="n">
        <x:f>SUMIFS('Kodierung offene Fragen'!$V$4:$V$43,'Kodierung offene Fragen'!$B$4:$B$43,"Physisches 3D-Modell")</x:f>
        <x:v>0</x:v>
      </x:c>
      <x:c r="F36" s="153" t="n">
        <x:f>SUM('Kodierung offene Fragen'!$V$4:$V$43)</x:f>
        <x:v>3</x:v>
      </x:c>
      <x:c r="G36" s="153" t="str">
        <x:v>Bestätigt die häufige Distanzproblematik aus SV_OFFEN.</x:v>
      </x:c>
    </x:row>
    <x:row r="37">
      <x:c r="A37" s="153" t="str">
        <x:v>F2</x:v>
      </x:c>
      <x:c r="B37" s="153" t="str">
        <x:v>Höhe / Topografie</x:v>
      </x:c>
      <x:c r="C37" s="153" t="n">
        <x:f>SUMIFS('Kodierung offene Fragen'!$W$4:$W$43,'Kodierung offene Fragen'!$B$4:$B$43,"Lageplan")</x:f>
        <x:v>2</x:v>
      </x:c>
      <x:c r="D37" s="153" t="n">
        <x:f>SUMIFS('Kodierung offene Fragen'!$W$4:$W$43,'Kodierung offene Fragen'!$B$4:$B$43,"Digitales 3D-Modell")</x:f>
        <x:v>1</x:v>
      </x:c>
      <x:c r="E37" s="153" t="n">
        <x:f>SUMIFS('Kodierung offene Fragen'!$W$4:$W$43,'Kodierung offene Fragen'!$B$4:$B$43,"Physisches 3D-Modell")</x:f>
        <x:v>0</x:v>
      </x:c>
      <x:c r="F37" s="153" t="n">
        <x:f>SUM('Kodierung offene Fragen'!$W$4:$W$43)</x:f>
        <x:v>3</x:v>
      </x:c>
      <x:c r="G37" s="153" t="str">
        <x:v>Zusätzliche Hinweise zu Höhenverständnis bzw. Höhenangaben.</x:v>
      </x:c>
    </x:row>
    <x:row r="38">
      <x:c r="A38" s="153" t="str">
        <x:v>F3</x:v>
      </x:c>
      <x:c r="B38" s="153" t="str">
        <x:v>Unklare Elemente, Symbolik oder Beschriftung</x:v>
      </x:c>
      <x:c r="C38" s="153" t="n">
        <x:f>SUMIFS('Kodierung offene Fragen'!$X$4:$X$43,'Kodierung offene Fragen'!$B$4:$B$43,"Lageplan")</x:f>
        <x:v>2</x:v>
      </x:c>
      <x:c r="D38" s="153" t="n">
        <x:f>SUMIFS('Kodierung offene Fragen'!$X$4:$X$43,'Kodierung offene Fragen'!$B$4:$B$43,"Digitales 3D-Modell")</x:f>
        <x:v>1</x:v>
      </x:c>
      <x:c r="E38" s="153" t="n">
        <x:f>SUMIFS('Kodierung offene Fragen'!$X$4:$X$43,'Kodierung offene Fragen'!$B$4:$B$43,"Physisches 3D-Modell")</x:f>
        <x:v>1</x:v>
      </x:c>
      <x:c r="F38" s="153" t="n">
        <x:f>SUM('Kodierung offene Fragen'!$X$4:$X$43)</x:f>
        <x:v>4</x:v>
      </x:c>
      <x:c r="G38" s="153" t="str">
        <x:v>Z. B. Klostermauer, Wege oder Brücke nicht eindeutig.</x:v>
      </x:c>
    </x:row>
    <x:row r="39">
      <x:c r="A39" s="153" t="str">
        <x:v>F4</x:v>
      </x:c>
      <x:c r="B39" s="153" t="str">
        <x:v>Orientierung / Kompass</x:v>
      </x:c>
      <x:c r="C39" s="153" t="n">
        <x:f>SUMIFS('Kodierung offene Fragen'!$Y$4:$Y$43,'Kodierung offene Fragen'!$B$4:$B$43,"Lageplan")</x:f>
        <x:v>0</x:v>
      </x:c>
      <x:c r="D39" s="153" t="n">
        <x:f>SUMIFS('Kodierung offene Fragen'!$Y$4:$Y$43,'Kodierung offene Fragen'!$B$4:$B$43,"Digitales 3D-Modell")</x:f>
        <x:v>1</x:v>
      </x:c>
      <x:c r="E39" s="153" t="n">
        <x:f>SUMIFS('Kodierung offene Fragen'!$Y$4:$Y$43,'Kodierung offene Fragen'!$B$4:$B$43,"Physisches 3D-Modell")</x:f>
        <x:v>0</x:v>
      </x:c>
      <x:c r="F39" s="153" t="n">
        <x:f>SUM('Kodierung offene Fragen'!$Y$4:$Y$43)</x:f>
        <x:v>1</x:v>
      </x:c>
      <x:c r="G39" s="153" t="str">
        <x:v>Kompass wurde zu spät wahrgenommen.</x:v>
      </x:c>
    </x:row>
    <x:row r="40">
      <x:c r="A40" s="153" t="str">
        <x:v>F5</x:v>
      </x:c>
      <x:c r="B40" s="153" t="str">
        <x:v>Allgemeine Verständlichkeit / Wunsch nach Haptik</x:v>
      </x:c>
      <x:c r="C40" s="153" t="n">
        <x:f>SUMIFS('Kodierung offene Fragen'!$Z$4:$Z$43,'Kodierung offene Fragen'!$B$4:$B$43,"Lageplan")</x:f>
        <x:v>0</x:v>
      </x:c>
      <x:c r="D40" s="153" t="n">
        <x:f>SUMIFS('Kodierung offene Fragen'!$Z$4:$Z$43,'Kodierung offene Fragen'!$B$4:$B$43,"Digitales 3D-Modell")</x:f>
        <x:v>1</x:v>
      </x:c>
      <x:c r="E40" s="153" t="n">
        <x:f>SUMIFS('Kodierung offene Fragen'!$Z$4:$Z$43,'Kodierung offene Fragen'!$B$4:$B$43,"Physisches 3D-Modell")</x:f>
        <x:v>0</x:v>
      </x:c>
      <x:c r="F40" s="153" t="n">
        <x:v>1</x:v>
      </x:c>
      <x:c r="G40" s="153" t="str">
        <x:v>Ein digitaler Teilnehmer beschreibt die Darstellung für Laien als schwierig und vermutet Vorteile eines haptischen Modells.</x:v>
      </x:c>
    </x:row>
    <x:row r="41">
      <x:c r="A41" s="153" t="str">
        <x:v>F6</x:v>
      </x:c>
      <x:c r="B41" s="153" t="str">
        <x:v>Positives Feedback</x:v>
      </x:c>
      <x:c r="C41" s="153" t="n">
        <x:f>SUMIFS('Kodierung offene Fragen'!$AA$4:$AA$43,'Kodierung offene Fragen'!$B$4:$B$43,"Lageplan")</x:f>
        <x:v>1</x:v>
      </x:c>
      <x:c r="D41" s="153" t="n">
        <x:f>SUMIFS('Kodierung offene Fragen'!$AA$4:$AA$43,'Kodierung offene Fragen'!$B$4:$B$43,"Digitales 3D-Modell")</x:f>
        <x:v>0</x:v>
      </x:c>
      <x:c r="E41" s="153" t="n">
        <x:f>SUMIFS('Kodierung offene Fragen'!$AA$4:$AA$43,'Kodierung offene Fragen'!$B$4:$B$43,"Physisches 3D-Modell")</x:f>
        <x:v>1</x:v>
      </x:c>
      <x:c r="F41" s="153" t="n">
        <x:f>SUM('Kodierung offene Fragen'!$AA$4:$AA$43)</x:f>
        <x:v>2</x:v>
      </x:c>
      <x:c r="G41" s="153" t="str">
        <x:v>Explizit positives Feedback zur Übersicht bzw. zum Modell.</x:v>
      </x:c>
    </x:row>
    <x:row r="42">
      <x:c r="A42" s="153"/>
      <x:c r="B42" s="153"/>
      <x:c r="C42" s="153"/>
      <x:c r="D42" s="153"/>
      <x:c r="E42" s="153"/>
      <x:c r="F42" s="153"/>
      <x:c r="G42" s="153"/>
    </x:row>
    <x:row r="43">
      <x:c r="A43" s="153"/>
      <x:c r="B43" s="153"/>
      <x:c r="C43" s="153"/>
      <x:c r="D43" s="153"/>
      <x:c r="E43" s="153"/>
      <x:c r="F43" s="153"/>
      <x:c r="G43" s="153"/>
    </x:row>
    <x:row r="44">
      <x:c r="A44" s="155" t="str">
        <x:v>5. Gemeinsame Interpretation mit den quantitativen Ergebnissen</x:v>
      </x:c>
      <x:c r="B44" s="155"/>
      <x:c r="C44" s="155"/>
      <x:c r="D44" s="155"/>
      <x:c r="E44" s="155"/>
      <x:c r="F44" s="155"/>
      <x:c r="G44" s="155"/>
    </x:row>
    <x:row r="45">
      <x:c r="A45" s="156" t="str">
        <x:v>Darstellungsform</x:v>
      </x:c>
      <x:c r="B45" s="156" t="str">
        <x:v>Häufig genannte Hilfen</x:v>
      </x:c>
      <x:c r="C45" s="156" t="str">
        <x:v>Häufig genannte Schwierigkeiten</x:v>
      </x:c>
      <x:c r="D45" s="156" t="str">
        <x:v>Objektive Einzelitems</x:v>
      </x:c>
      <x:c r="E45" s="156" t="str">
        <x:v>Subjektive Einzelitems</x:v>
      </x:c>
      <x:c r="F45" s="156" t="str">
        <x:v>Zusammenfassende Einordnung</x:v>
      </x:c>
      <x:c r="G45" s="156"/>
    </x:row>
    <x:row r="46" ht="70" customHeight="1">
      <x:c r="A46" s="153" t="str">
        <x:v>Lageplan</x:v>
      </x:c>
      <x:c r="B46" s="153" t="str">
        <x:v>Beschriftungen/Farben werden häufig als hilfreich genannt.</x:v>
      </x:c>
      <x:c r="C46" s="153" t="str">
        <x:v>Höhe/Topografie und Legende/Lesbarkeit sind die häufigsten Probleme.</x:v>
      </x:c>
      <x:c r="D46" s="153" t="str">
        <x:v>OV03: 8,3 %; OV07: 33,3 %; OV08: 41,7 %.</x:v>
      </x:c>
      <x:c r="E46" s="153" t="str">
        <x:v>SV07: 2,33/5; SV08: 3,00/5.</x:v>
      </x:c>
      <x:c r="F46" s="153" t="str">
        <x:v>Die Freitexte stützen die Schwächen bei Maß/Höhe; zusätzlich fällt die objektive Positionsaufgabe OV03 stark ab.</x:v>
      </x:c>
      <x:c r="G46" s="153"/>
    </x:row>
    <x:row r="47" ht="70" customHeight="1">
      <x:c r="A47" s="153" t="str">
        <x:v>Digitales 3D-Modell</x:v>
      </x:c>
      <x:c r="B47" s="153" t="str">
        <x:v>3D-Ansicht, Rotation/Zoom und teilweise Kompass werden positiv hervorgehoben.</x:v>
      </x:c>
      <x:c r="C47" s="153" t="str">
        <x:v>Maßstab/Distanz ist das häufigste Problem; zusätzlich Überlagerungen/Sichtbarkeit.</x:v>
      </x:c>
      <x:c r="D47" s="153" t="str">
        <x:v>OV07: 25,0 %; OV08: 18,8 %.</x:v>
      </x:c>
      <x:c r="E47" s="153" t="str">
        <x:v>SV07: 2,06/5; SV08: 2,44/5.</x:v>
      </x:c>
      <x:c r="F47" s="153" t="str">
        <x:v>Sehr deutliche Übereinstimmung: Distanz und Höhe sind quantitativ und in den Freitexten die Schwachstellen.</x:v>
      </x:c>
      <x:c r="G47" s="153"/>
    </x:row>
    <x:row r="48" ht="70" customHeight="1">
      <x:c r="A48" s="145" t="str">
        <x:v>Physisches 3D-Modell</x:v>
      </x:c>
      <x:c r="B48" s="145" t="str">
        <x:v>Struktur/Übersicht, plastische Darstellung und Markierungen werden häufig positiv genannt.</x:v>
      </x:c>
      <x:c r="C48" s="145" t="str">
        <x:v>Distanz bleibt problematisch; Höhe wird vereinzelt als schwierig genannt.</x:v>
      </x:c>
      <x:c r="D48" s="145" t="str">
        <x:v>OV08: 91,7 %; OV07: 33,3 %.</x:v>
      </x:c>
      <x:c r="E48" s="145" t="str">
        <x:v>SV07: 2,50/5; SV08: 3,42/5.</x:v>
      </x:c>
      <x:c r="F48" s="145" t="str">
        <x:v>Das Modell vermittelt Höhenrelationen offenbar besonders gut; Entfernungen bleiben trotz guter objektiver Leistung schwierig.</x:v>
      </x:c>
      <x:c r="G48" s="145"/>
    </x:row>
  </x:sheetData>
  <x:mergeCells>
    <x:mergeCell ref="A1:G1"/>
    <x:mergeCell ref="A3:G3"/>
    <x:mergeCell ref="A5:G5"/>
    <x:mergeCell ref="A12:G12"/>
    <x:mergeCell ref="A23:G23"/>
    <x:mergeCell ref="A33:G33"/>
    <x:mergeCell ref="A44:G44"/>
    <x:mergeCell ref="F6:G6"/>
    <x:mergeCell ref="F7:G7"/>
    <x:mergeCell ref="F8:G8"/>
    <x:mergeCell ref="F9:G9"/>
    <x:mergeCell ref="F45:G45"/>
    <x:mergeCell ref="F46:G46"/>
    <x:mergeCell ref="F47:G47"/>
    <x:mergeCell ref="F48:G48"/>
  </x:mergeCells>
  <x:pageMargins left="0.7" right="0.7" top="0.75" bottom="0.75" header="0.3" footer="0.3"/>
</x:worksheet>
</file>